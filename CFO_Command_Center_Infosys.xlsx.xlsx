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P:\Finance Projects\CFO Command Center Driver-Based FP&amp;A Forecasting, Workforce Planning &amp; Scenario Intelligence Model\"/>
    </mc:Choice>
  </mc:AlternateContent>
  <xr:revisionPtr revIDLastSave="0" documentId="13_ncr:1_{BE9FB6DA-4C7B-49AA-BF32-B57DD1E62270}" xr6:coauthVersionLast="47" xr6:coauthVersionMax="47" xr10:uidLastSave="{00000000-0000-0000-0000-000000000000}"/>
  <bookViews>
    <workbookView xWindow="-110" yWindow="-110" windowWidth="19420" windowHeight="11500" tabRatio="620" firstSheet="10" activeTab="13" xr2:uid="{00000000-000D-0000-FFFF-FFFF00000000}"/>
  </bookViews>
  <sheets>
    <sheet name="Cover" sheetId="1" r:id="rId1"/>
    <sheet name="Historical_Data" sheetId="2" r:id="rId2"/>
    <sheet name="Business_Notes" sheetId="11" r:id="rId3"/>
    <sheet name="Assumptions" sheetId="4" r:id="rId4"/>
    <sheet name="Revenue_Drivers" sheetId="5" r:id="rId5"/>
    <sheet name="Workforce_Historical_Data" sheetId="12" r:id="rId6"/>
    <sheet name="Workforce_Model" sheetId="6" r:id="rId7"/>
    <sheet name="Historical_Cost_Analysis" sheetId="13" r:id="rId8"/>
    <sheet name="Cost_Model" sheetId="7" r:id="rId9"/>
    <sheet name="Three_Statement_Model" sheetId="8" r:id="rId10"/>
    <sheet name="Scenario_Engine" sheetId="9" r:id="rId11"/>
    <sheet name="Dashboard" sheetId="10" r:id="rId12"/>
    <sheet name="Executive_Summary" sheetId="14" r:id="rId13"/>
    <sheet name="Management_Insights" sheetId="15"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8" l="1"/>
  <c r="B10" i="14"/>
  <c r="D10" i="14" s="1"/>
  <c r="D9" i="14"/>
  <c r="D11" i="14"/>
  <c r="D12" i="14"/>
  <c r="D8" i="14"/>
  <c r="C12" i="14"/>
  <c r="C11" i="14"/>
  <c r="C10" i="14"/>
  <c r="C9" i="14"/>
  <c r="C8" i="14"/>
  <c r="B12" i="14"/>
  <c r="B11" i="14"/>
  <c r="B9" i="14"/>
  <c r="B8" i="14"/>
  <c r="B18" i="8"/>
  <c r="E8" i="13"/>
  <c r="C8" i="13"/>
  <c r="D8" i="13"/>
  <c r="B8" i="13"/>
  <c r="E4" i="13"/>
  <c r="E5" i="13"/>
  <c r="E6" i="13"/>
  <c r="E7" i="13"/>
  <c r="E3" i="13"/>
  <c r="D4" i="13"/>
  <c r="D5" i="13"/>
  <c r="D6" i="13"/>
  <c r="D7" i="13"/>
  <c r="D3" i="13"/>
  <c r="C4" i="13"/>
  <c r="C5" i="13"/>
  <c r="C6" i="13"/>
  <c r="C7" i="13"/>
  <c r="C3" i="13"/>
  <c r="B4" i="13"/>
  <c r="B5" i="13"/>
  <c r="B6" i="13"/>
  <c r="B7" i="13"/>
  <c r="B3" i="13"/>
  <c r="B20" i="6"/>
  <c r="C3" i="6" s="1"/>
  <c r="E3" i="6" s="1"/>
  <c r="B4" i="6" s="1"/>
  <c r="B21" i="6"/>
  <c r="D3" i="6"/>
  <c r="B19" i="6"/>
  <c r="B3" i="6"/>
  <c r="I4" i="12"/>
  <c r="I5" i="12"/>
  <c r="I6" i="12"/>
  <c r="I7" i="12"/>
  <c r="I3" i="12"/>
  <c r="H4" i="12"/>
  <c r="H5" i="12"/>
  <c r="H6" i="12"/>
  <c r="H7" i="12"/>
  <c r="H3" i="12"/>
  <c r="G4" i="12"/>
  <c r="G5" i="12"/>
  <c r="G6" i="12"/>
  <c r="G7" i="12"/>
  <c r="G3" i="12"/>
  <c r="C5" i="12"/>
  <c r="C6" i="12"/>
  <c r="C7" i="12"/>
  <c r="C4" i="12"/>
  <c r="F6" i="8"/>
  <c r="I3" i="10" s="1"/>
  <c r="D9" i="10"/>
  <c r="E8" i="10"/>
  <c r="F8" i="10"/>
  <c r="G8" i="10"/>
  <c r="H8" i="10"/>
  <c r="I8" i="10"/>
  <c r="J8" i="10"/>
  <c r="K8" i="10"/>
  <c r="L8" i="10"/>
  <c r="D8" i="10"/>
  <c r="D6" i="10"/>
  <c r="E5" i="10"/>
  <c r="F5" i="10"/>
  <c r="G5" i="10"/>
  <c r="H5" i="10"/>
  <c r="I5" i="10"/>
  <c r="J5" i="10"/>
  <c r="K5" i="10"/>
  <c r="L5" i="10"/>
  <c r="D5" i="10"/>
  <c r="B6" i="10"/>
  <c r="G6" i="9"/>
  <c r="G5" i="9"/>
  <c r="G4" i="9"/>
  <c r="G3" i="4"/>
  <c r="E3" i="4"/>
  <c r="C4" i="4"/>
  <c r="F11" i="8"/>
  <c r="F10" i="8"/>
  <c r="I9" i="10" s="1"/>
  <c r="F9" i="8"/>
  <c r="F8" i="8"/>
  <c r="I6" i="10" s="1"/>
  <c r="F7" i="8"/>
  <c r="E11" i="8"/>
  <c r="E10" i="8"/>
  <c r="H9" i="10" s="1"/>
  <c r="E9" i="8"/>
  <c r="E8" i="8"/>
  <c r="H6" i="10" s="1"/>
  <c r="E7" i="8"/>
  <c r="E6" i="8"/>
  <c r="H3" i="10" s="1"/>
  <c r="D11" i="8"/>
  <c r="D10" i="8"/>
  <c r="G9" i="10" s="1"/>
  <c r="D9" i="8"/>
  <c r="D8" i="8"/>
  <c r="G6" i="10" s="1"/>
  <c r="D7" i="8"/>
  <c r="D6" i="8"/>
  <c r="G3" i="10" s="1"/>
  <c r="C11" i="8"/>
  <c r="C10" i="8"/>
  <c r="F9" i="10" s="1"/>
  <c r="C9" i="8"/>
  <c r="C8" i="8"/>
  <c r="F6" i="10" s="1"/>
  <c r="C7" i="8"/>
  <c r="C6" i="8"/>
  <c r="F3" i="10" s="1"/>
  <c r="B11" i="8"/>
  <c r="B10" i="8"/>
  <c r="E9" i="10" s="1"/>
  <c r="B9" i="8"/>
  <c r="B8" i="8"/>
  <c r="E6" i="10" s="1"/>
  <c r="B7" i="8"/>
  <c r="B6" i="8"/>
  <c r="E3" i="10" s="1"/>
  <c r="D9" i="4"/>
  <c r="E9" i="4"/>
  <c r="F9" i="4"/>
  <c r="G9" i="4"/>
  <c r="C9" i="4"/>
  <c r="B9" i="4"/>
  <c r="G4" i="4"/>
  <c r="G5" i="4"/>
  <c r="G6" i="4"/>
  <c r="G7" i="4"/>
  <c r="E4" i="4"/>
  <c r="E5" i="4"/>
  <c r="E6" i="4"/>
  <c r="E7" i="4"/>
  <c r="C5" i="4"/>
  <c r="C6" i="4"/>
  <c r="C7" i="4"/>
  <c r="B17" i="8" l="1"/>
  <c r="B19" i="8" s="1"/>
  <c r="G6" i="8"/>
  <c r="G10" i="8" s="1"/>
  <c r="D4" i="6"/>
  <c r="C4" i="6"/>
  <c r="H6" i="8" l="1"/>
  <c r="K3" i="10" s="1"/>
  <c r="B28" i="8"/>
  <c r="J3" i="10"/>
  <c r="J9" i="10"/>
  <c r="B24" i="8"/>
  <c r="G8" i="8"/>
  <c r="J6" i="10" s="1"/>
  <c r="G7" i="8"/>
  <c r="B3" i="7"/>
  <c r="C17" i="8"/>
  <c r="B25" i="8" s="1"/>
  <c r="E4" i="6"/>
  <c r="B5" i="6"/>
  <c r="G11" i="8"/>
  <c r="H8" i="8" l="1"/>
  <c r="K6" i="10" s="1"/>
  <c r="I6" i="8"/>
  <c r="D28" i="8" s="1"/>
  <c r="H10" i="8"/>
  <c r="C24" i="8" s="1"/>
  <c r="B4" i="7"/>
  <c r="C4" i="7" s="1"/>
  <c r="H7" i="8"/>
  <c r="D17" i="8"/>
  <c r="C25" i="8" s="1"/>
  <c r="C28" i="8"/>
  <c r="H11" i="8"/>
  <c r="G9" i="8"/>
  <c r="F3" i="7"/>
  <c r="E3" i="7"/>
  <c r="C3" i="7"/>
  <c r="D3" i="7"/>
  <c r="I7" i="8"/>
  <c r="F4" i="7"/>
  <c r="C5" i="6"/>
  <c r="D5" i="6"/>
  <c r="H9" i="8"/>
  <c r="K9" i="10" l="1"/>
  <c r="L3" i="10"/>
  <c r="E4" i="7"/>
  <c r="D4" i="7"/>
  <c r="I8" i="8"/>
  <c r="B3" i="10" s="1"/>
  <c r="I10" i="8"/>
  <c r="D24" i="8" s="1"/>
  <c r="B2" i="10"/>
  <c r="E17" i="8"/>
  <c r="D25" i="8" s="1"/>
  <c r="B5" i="7"/>
  <c r="F5" i="7" s="1"/>
  <c r="G3" i="7"/>
  <c r="C18" i="8" s="1"/>
  <c r="E5" i="6"/>
  <c r="L6" i="10" l="1"/>
  <c r="B4" i="10"/>
  <c r="G4" i="7"/>
  <c r="D18" i="8" s="1"/>
  <c r="D19" i="8" s="1"/>
  <c r="L9" i="10"/>
  <c r="I11" i="8"/>
  <c r="D5" i="7"/>
  <c r="I9" i="8"/>
  <c r="E5" i="7"/>
  <c r="C5" i="7"/>
  <c r="C19" i="8"/>
  <c r="B26" i="8"/>
  <c r="B27" i="8" s="1"/>
  <c r="B29" i="8" s="1"/>
  <c r="B30" i="8" s="1"/>
  <c r="G5" i="7" l="1"/>
  <c r="E18" i="8" s="1"/>
  <c r="E19" i="8" s="1"/>
  <c r="C26" i="8"/>
  <c r="C27" i="8" s="1"/>
  <c r="C29" i="8" s="1"/>
  <c r="C16" i="8"/>
  <c r="C30" i="8"/>
  <c r="D26" i="8" l="1"/>
  <c r="D27" i="8" s="1"/>
  <c r="D29" i="8" s="1"/>
  <c r="E16" i="8" s="1"/>
  <c r="D16" i="8"/>
</calcChain>
</file>

<file path=xl/sharedStrings.xml><?xml version="1.0" encoding="utf-8"?>
<sst xmlns="http://schemas.openxmlformats.org/spreadsheetml/2006/main" count="511" uniqueCount="361">
  <si>
    <t>YEAR</t>
  </si>
  <si>
    <t>REVENUE</t>
  </si>
  <si>
    <t>OPERATING PROFIT</t>
  </si>
  <si>
    <t>NET PROFIT</t>
  </si>
  <si>
    <t>Topic</t>
  </si>
  <si>
    <t>Notes</t>
  </si>
  <si>
    <t>Revenue Drivers</t>
  </si>
  <si>
    <t>Cost Drivers</t>
  </si>
  <si>
    <t>Profitability Drivers</t>
  </si>
  <si>
    <t>Working Capital Drivers</t>
  </si>
  <si>
    <t>Scenario Planning</t>
  </si>
  <si>
    <t>Company Overview</t>
  </si>
  <si>
    <t>Revenue Model</t>
  </si>
  <si>
    <t>Key Business Risks</t>
  </si>
  <si>
    <t>Forecasting Approach</t>
  </si>
  <si>
    <t>Project Objective</t>
  </si>
  <si>
    <t>Infosys is a global IT services and consulting company providing digital transformation, cloud, AI, cybersecurity, outsourcing, and business process management services.</t>
  </si>
  <si>
    <t>Revenue is generated through consulting engagements, software implementation projects, managed services, outsourcing contracts, and digital transformation initiatives.</t>
  </si>
  <si>
    <t>Employee count, utilization rate, billing rates, client demand, project volume, and client spending trends.</t>
  </si>
  <si>
    <t>Employee salaries and benefits, training costs, infrastructure expenses, technology investments, and administrative expenses.</t>
  </si>
  <si>
    <t>Utilization rate, billing rates, employee productivity, project mix, and cost management initiatives.</t>
  </si>
  <si>
    <t>Receivables collection efficiency, payment terms, cash conversion cycle, and client payment behavior.</t>
  </si>
  <si>
    <t>Economic slowdown, reduced IT spending, wage inflation, lower utilization, client concentration, and competitive pressure.</t>
  </si>
  <si>
    <t>Revenue forecasts are driven by employee growth, utilization assumptions, billing rate changes, and expected client demand.</t>
  </si>
  <si>
    <t>Base, Growth, Recession, and Wage Inflation scenarios are used to assess the impact on revenue, profitability, and cash flow.</t>
  </si>
  <si>
    <t>Build a driver-based FP&amp;A forecasting and scenario planning model that supports strategic decision-making through financial forecasting, workforce planning, and risk analysis.</t>
  </si>
  <si>
    <t>Year</t>
  </si>
  <si>
    <t>Revenue</t>
  </si>
  <si>
    <t>Revenue Growth %</t>
  </si>
  <si>
    <t>N/A</t>
  </si>
  <si>
    <t>Operating Profit</t>
  </si>
  <si>
    <t>Net Profit</t>
  </si>
  <si>
    <t>Operating Profit Margin %</t>
  </si>
  <si>
    <t>Net Profit Margin%</t>
  </si>
  <si>
    <t>Average</t>
  </si>
  <si>
    <t>Revenue Driver</t>
  </si>
  <si>
    <t>Impact on Revenue</t>
  </si>
  <si>
    <t>Why It Matters</t>
  </si>
  <si>
    <t>Employee Count</t>
  </si>
  <si>
    <t>High</t>
  </si>
  <si>
    <t>More employees increase delivery capacity</t>
  </si>
  <si>
    <t>Utilization Rate</t>
  </si>
  <si>
    <t>More billable work generates more revenue</t>
  </si>
  <si>
    <t>Billing Rates</t>
  </si>
  <si>
    <t>Higher rates increase revenue per project</t>
  </si>
  <si>
    <t>Client Demand</t>
  </si>
  <si>
    <t>More projects generate more revenue</t>
  </si>
  <si>
    <t>Project Volume</t>
  </si>
  <si>
    <t>Medium</t>
  </si>
  <si>
    <t>More engagements increase revenue</t>
  </si>
  <si>
    <t>Revenue Driver Framework</t>
  </si>
  <si>
    <t>Driver Impact Ranking</t>
  </si>
  <si>
    <t>Driver</t>
  </si>
  <si>
    <t>Impact Score (1-10)</t>
  </si>
  <si>
    <t>Utilization</t>
  </si>
  <si>
    <t>Historical Driver Commentary</t>
  </si>
  <si>
    <t>Infosys revenue capacity depends heavily on workforce size because services are delivered through employees.</t>
  </si>
  <si>
    <t>Higher utilization allows Infosys to generate additional revenue without proportionately increasing headcount.</t>
  </si>
  <si>
    <t>Billing rate improvements directly increase revenue and margins.</t>
  </si>
  <si>
    <t>Revenue growth depends on enterprise technology spending and project demand.</t>
  </si>
  <si>
    <t>Key Revenue Assumptions</t>
  </si>
  <si>
    <t>Assumption</t>
  </si>
  <si>
    <t>Base Case</t>
  </si>
  <si>
    <t>Employee Growth</t>
  </si>
  <si>
    <t>Billing Rate Growth</t>
  </si>
  <si>
    <t>Client Demand Growth</t>
  </si>
  <si>
    <t>Revenue Forecast Formula</t>
  </si>
  <si>
    <t>=</t>
  </si>
  <si>
    <t>Employee Capacity</t>
  </si>
  <si>
    <t>×</t>
  </si>
  <si>
    <t>Billing Rate</t>
  </si>
  <si>
    <t>Profit &amp; Loss section ( in ₹ Crores )</t>
  </si>
  <si>
    <t>Historical Analysis  ( in ₹ Crores )</t>
  </si>
  <si>
    <t>Workforce Planning Framework</t>
  </si>
  <si>
    <t>Workforce Driver</t>
  </si>
  <si>
    <t>Impact</t>
  </si>
  <si>
    <t>Drives revenue capacity</t>
  </si>
  <si>
    <t>Hiring Rate</t>
  </si>
  <si>
    <t>Determines future workforce size</t>
  </si>
  <si>
    <t>Attrition Rate</t>
  </si>
  <si>
    <t>Reduces workforce capacity</t>
  </si>
  <si>
    <t>Salary Inflation</t>
  </si>
  <si>
    <t>Increases employee costs</t>
  </si>
  <si>
    <t>Determines billable productivity</t>
  </si>
  <si>
    <t>Historical Workforce Commentary</t>
  </si>
  <si>
    <t>Attrition</t>
  </si>
  <si>
    <t>Infosys relies on human capital to deliver services. Workforce size directly influences revenue generation capacity.</t>
  </si>
  <si>
    <t>Higher attrition can reduce delivery capacity and increase hiring costs.</t>
  </si>
  <si>
    <t>Higher utilization improves productivity and profitability without requiring additional hiring.</t>
  </si>
  <si>
    <t>Rising wages increase employee costs and may pressure margins.</t>
  </si>
  <si>
    <t>Workforce Assumptions</t>
  </si>
  <si>
    <t>Base Value</t>
  </si>
  <si>
    <t>Starting Employees</t>
  </si>
  <si>
    <t>Hiring Growth %</t>
  </si>
  <si>
    <t>Attrition Rate %</t>
  </si>
  <si>
    <t>Salary Inflation %</t>
  </si>
  <si>
    <t>Utilization Rate %</t>
  </si>
  <si>
    <t>Workforce Forecast Engine</t>
  </si>
  <si>
    <t>Opening Employees</t>
  </si>
  <si>
    <t>New Hires</t>
  </si>
  <si>
    <t>Closing Employees</t>
  </si>
  <si>
    <t>Risk</t>
  </si>
  <si>
    <t>Trigger</t>
  </si>
  <si>
    <t>High Attrition Risk</t>
  </si>
  <si>
    <t>Attrition &gt; 18%</t>
  </si>
  <si>
    <t>Margin Risk</t>
  </si>
  <si>
    <t>Salary Inflation &gt; Revenue Growth</t>
  </si>
  <si>
    <t>Capacity Risk</t>
  </si>
  <si>
    <t>Utilization &lt; 75%</t>
  </si>
  <si>
    <t>Workforce Risk Indicators</t>
  </si>
  <si>
    <t>Cost Forecast Engine</t>
  </si>
  <si>
    <t>Employee Cost</t>
  </si>
  <si>
    <t>Technology Cost</t>
  </si>
  <si>
    <t>Admin Cost</t>
  </si>
  <si>
    <t>Infrastructure Cost</t>
  </si>
  <si>
    <t>Cost Structure Analysis</t>
  </si>
  <si>
    <t>Cost Category</t>
  </si>
  <si>
    <t>Type</t>
  </si>
  <si>
    <t>Variable/Semi-Fixed</t>
  </si>
  <si>
    <t>Infrastructure</t>
  </si>
  <si>
    <t>Fixed</t>
  </si>
  <si>
    <t>Office Capacity</t>
  </si>
  <si>
    <t>Technology</t>
  </si>
  <si>
    <t>Semi-Fixed</t>
  </si>
  <si>
    <t>Business Scale</t>
  </si>
  <si>
    <t>Administrative</t>
  </si>
  <si>
    <t>Corporate Operations</t>
  </si>
  <si>
    <t>Sales &amp; Marketing</t>
  </si>
  <si>
    <t>Variable</t>
  </si>
  <si>
    <t>Cost Driver Framework</t>
  </si>
  <si>
    <t>Cost Driver</t>
  </si>
  <si>
    <t>Revenue Growth</t>
  </si>
  <si>
    <t>Technology Investment</t>
  </si>
  <si>
    <t>Office Expansion</t>
  </si>
  <si>
    <t>Low</t>
  </si>
  <si>
    <t>Cost Assumptions</t>
  </si>
  <si>
    <t>Value</t>
  </si>
  <si>
    <t>Employee Cost % Revenue</t>
  </si>
  <si>
    <t>Technology Cost % Revenue</t>
  </si>
  <si>
    <t>Admin Cost % Revenue</t>
  </si>
  <si>
    <t>Infrastructure Cost % Revenue</t>
  </si>
  <si>
    <t>Historical Margin Commentary</t>
  </si>
  <si>
    <t>Revenue increased from ₹100,472 Cr in FY2021 to ₹162,990 Cr in FY2025. However, operating margins declined from 28% to 24%, indicating rising cost pressures and margin normalization despite revenue growth.</t>
  </si>
  <si>
    <t>Historical + Forecast Income Statement</t>
  </si>
  <si>
    <t>Particulars</t>
  </si>
  <si>
    <t>2021A</t>
  </si>
  <si>
    <t>2022A</t>
  </si>
  <si>
    <t>2023A</t>
  </si>
  <si>
    <t>2024A</t>
  </si>
  <si>
    <t>2025A</t>
  </si>
  <si>
    <t>2026F</t>
  </si>
  <si>
    <t>2027F</t>
  </si>
  <si>
    <t>2028F</t>
  </si>
  <si>
    <t>Operating Margin %</t>
  </si>
  <si>
    <t>Net Margin %</t>
  </si>
  <si>
    <t>Base Case Forecast Assumptions</t>
  </si>
  <si>
    <t>Operating Margin</t>
  </si>
  <si>
    <t>Net Margin</t>
  </si>
  <si>
    <t>Revenue Forecast Logic</t>
  </si>
  <si>
    <t>Revenue is forecast using a driver-based growth assumption derived from historical performance trends and management outlook.</t>
  </si>
  <si>
    <t xml:space="preserve">Formula </t>
  </si>
  <si>
    <t xml:space="preserve">Previous Year Revenue*(1+Revenue Growth Assumption) </t>
  </si>
  <si>
    <t>Operating Profit Forecast Logic</t>
  </si>
  <si>
    <t>Operating profit is forecast using expected operating margin assumptions based on historical profitability trends.</t>
  </si>
  <si>
    <t>Formula</t>
  </si>
  <si>
    <t>Forecast Revenue*Operating Margin</t>
  </si>
  <si>
    <t>Net Profit Forecast Logic</t>
  </si>
  <si>
    <t>Net profit is forecast using expected net margin assumptions derived from historical performance.</t>
  </si>
  <si>
    <t>Forecast Revenue*Net Margin</t>
  </si>
  <si>
    <t>Forecast Commentary</t>
  </si>
  <si>
    <t>CFO COMMAND CENTER</t>
  </si>
  <si>
    <t>Field</t>
  </si>
  <si>
    <t>PROJECT TITLE</t>
  </si>
  <si>
    <t>SUBTITLE</t>
  </si>
  <si>
    <t>Driver-Based FP&amp;A Forecasting, Workforce Planning &amp; Scenario Intelligence Model</t>
  </si>
  <si>
    <t>PROJECT OVERVIEW</t>
  </si>
  <si>
    <t>Description</t>
  </si>
  <si>
    <t>Simulates the role of an FP&amp;A Analyst at Infosys Limited using historical financial analysis, workforce planning, forecasting, and scenario modelling.</t>
  </si>
  <si>
    <t>Objective</t>
  </si>
  <si>
    <t>Forecast future business performance and support strategic decision-making through a driver-based FP&amp;A framework.</t>
  </si>
  <si>
    <t>PROJECT SCOPE</t>
  </si>
  <si>
    <t>Scope 1</t>
  </si>
  <si>
    <t>Historical Financial Analysis (FY2021-FY2025)</t>
  </si>
  <si>
    <t>Scope 2</t>
  </si>
  <si>
    <t>Revenue Driver Analysis</t>
  </si>
  <si>
    <t>Scope 3</t>
  </si>
  <si>
    <t>Workforce Planning Model</t>
  </si>
  <si>
    <t>Scope 4</t>
  </si>
  <si>
    <t>Cost Forecasting Framework</t>
  </si>
  <si>
    <t>Scope 5</t>
  </si>
  <si>
    <t>Three-Statement Financial Forecasting</t>
  </si>
  <si>
    <t>Scope 6</t>
  </si>
  <si>
    <t>Scenario Planning Engine</t>
  </si>
  <si>
    <t>Scope 7</t>
  </si>
  <si>
    <t>Executive Dashboard</t>
  </si>
  <si>
    <t>Scope 8</t>
  </si>
  <si>
    <t>Strategic Decision Support Analysis</t>
  </si>
  <si>
    <t>COMPANY PROFILE</t>
  </si>
  <si>
    <t>Company</t>
  </si>
  <si>
    <t>Infosys Limited</t>
  </si>
  <si>
    <t>Industry</t>
  </si>
  <si>
    <t>Information Technology Services &amp; Consulting</t>
  </si>
  <si>
    <t>Historical Period</t>
  </si>
  <si>
    <t>FY2021-FY2025</t>
  </si>
  <si>
    <t>Forecast Period</t>
  </si>
  <si>
    <t>FY2026-FY2028</t>
  </si>
  <si>
    <t>KEY BUSINESS DRIVERS ANALYZED</t>
  </si>
  <si>
    <t>Driver 1</t>
  </si>
  <si>
    <t>Driver 2</t>
  </si>
  <si>
    <t>Driver 3</t>
  </si>
  <si>
    <t>Driver 4</t>
  </si>
  <si>
    <t>Driver 5</t>
  </si>
  <si>
    <t>Employee Cost Inflation</t>
  </si>
  <si>
    <t>Driver 6</t>
  </si>
  <si>
    <t>Operating Margin Performance</t>
  </si>
  <si>
    <t>Driver 7</t>
  </si>
  <si>
    <t>Working Capital Efficiency</t>
  </si>
  <si>
    <t>PROJECT OBJECTIVE</t>
  </si>
  <si>
    <t>Objective Statement</t>
  </si>
  <si>
    <t>Develop a driver-based FP&amp;A forecasting model capable of evaluating the financial impact of strategic decisions, workforce planning initiatives, growth opportunities, and economic stress scenarios.</t>
  </si>
  <si>
    <t>PREPARED BY</t>
  </si>
  <si>
    <t>Shourya Nautiyal</t>
  </si>
  <si>
    <t>TOOLS USED</t>
  </si>
  <si>
    <t>Microsoft Excel</t>
  </si>
  <si>
    <t>PROJECT TYPE</t>
  </si>
  <si>
    <t>Corporate Finance, FP&amp;A, Financial Forecasting, Scenario Analysis</t>
  </si>
  <si>
    <t>Scenario Selection</t>
  </si>
  <si>
    <t>Base</t>
  </si>
  <si>
    <t>Growth</t>
  </si>
  <si>
    <t>Scenario</t>
  </si>
  <si>
    <t>Recession</t>
  </si>
  <si>
    <t>Wage Inflation</t>
  </si>
  <si>
    <t>Hiring Expansion</t>
  </si>
  <si>
    <t>Margin Protection</t>
  </si>
  <si>
    <t>Scenario Assumptions Table</t>
  </si>
  <si>
    <t>Normal business environment</t>
  </si>
  <si>
    <t>Strong client demand and expansion</t>
  </si>
  <si>
    <t>Economic slowdown and weaker spending</t>
  </si>
  <si>
    <t>Employee costs rise significantly</t>
  </si>
  <si>
    <t>Aggressive workforce growth strategy</t>
  </si>
  <si>
    <t>Cost optimization and efficiency focus</t>
  </si>
  <si>
    <t>Scenario Description</t>
  </si>
  <si>
    <t>Revenue Impact</t>
  </si>
  <si>
    <t>Profit Impact</t>
  </si>
  <si>
    <t>Risk Level</t>
  </si>
  <si>
    <t>Stable</t>
  </si>
  <si>
    <t>High Positive</t>
  </si>
  <si>
    <t>Negative</t>
  </si>
  <si>
    <t>Neutral</t>
  </si>
  <si>
    <t>Positive</t>
  </si>
  <si>
    <t>Short-Term Negative</t>
  </si>
  <si>
    <t>Moderate Positive</t>
  </si>
  <si>
    <t>Expected Business Impact</t>
  </si>
  <si>
    <t>Management Questions Addressed</t>
  </si>
  <si>
    <t>1. What happens if revenue growth slows?</t>
  </si>
  <si>
    <t>2. What happens if employee costs rise?</t>
  </si>
  <si>
    <t>3. Can profitability be maintained during a recession?</t>
  </si>
  <si>
    <t>4. What is the impact of aggressive hiring?</t>
  </si>
  <si>
    <t>5. How does cost optimization affect margins?</t>
  </si>
  <si>
    <t>6. Which scenario creates the highest financial risk?</t>
  </si>
  <si>
    <t>Metric</t>
  </si>
  <si>
    <t>Active Value</t>
  </si>
  <si>
    <t>Active Scenario Assumptions</t>
  </si>
  <si>
    <t>CFO COMMAND CENTER DASHBOARD</t>
  </si>
  <si>
    <t>Forecast Revenue (2028)</t>
  </si>
  <si>
    <t>Forecast Operating Profit (2028)</t>
  </si>
  <si>
    <t>Forecast Net Profit (2028)</t>
  </si>
  <si>
    <t>Selected Scenario</t>
  </si>
  <si>
    <t>Employees</t>
  </si>
  <si>
    <t>Employee Growth %</t>
  </si>
  <si>
    <t>Attrition %</t>
  </si>
  <si>
    <t>FY2021</t>
  </si>
  <si>
    <t>FY2022</t>
  </si>
  <si>
    <t>FY2023</t>
  </si>
  <si>
    <t>FY2024</t>
  </si>
  <si>
    <t>FY2025</t>
  </si>
  <si>
    <t>Workforce History</t>
  </si>
  <si>
    <t>N.A</t>
  </si>
  <si>
    <t>Infosys experienced elevated attrition levels during FY2023 following the post-pandemic hiring cycle. Attrition improved significantly in FY2024 and stabilized in FY2025, indicating improved workforce retention and organizational stability.</t>
  </si>
  <si>
    <t>Workforce Productivity Analysis</t>
  </si>
  <si>
    <t>Revenue (₹ Cr)</t>
  </si>
  <si>
    <t>Revenue per Employee (₹ Cr)</t>
  </si>
  <si>
    <t>Observation</t>
  </si>
  <si>
    <t>Workforce Growth</t>
  </si>
  <si>
    <t>Average growth 6.17%</t>
  </si>
  <si>
    <t>Improved significantly after FY2023</t>
  </si>
  <si>
    <t>Workforce Stability</t>
  </si>
  <si>
    <t>Improved during FY2024–FY2025</t>
  </si>
  <si>
    <t>Productivity</t>
  </si>
  <si>
    <t>Revenue per employee increased over time</t>
  </si>
  <si>
    <t>Workforce Risk Assessment</t>
  </si>
  <si>
    <t>&lt;-   As of latest year 2025</t>
  </si>
  <si>
    <t>Operating Cost</t>
  </si>
  <si>
    <t>Operating Cost %</t>
  </si>
  <si>
    <t>Historical Cost Structure Analysis</t>
  </si>
  <si>
    <t>FY2026F</t>
  </si>
  <si>
    <t>FY2027F</t>
  </si>
  <si>
    <t>FY2028F</t>
  </si>
  <si>
    <t xml:space="preserve">Total Cost </t>
  </si>
  <si>
    <t>FY2025A</t>
  </si>
  <si>
    <t>Cash &amp; Cash Equivalents</t>
  </si>
  <si>
    <t>Trade Receivables</t>
  </si>
  <si>
    <t>Trade Payables</t>
  </si>
  <si>
    <t>Net Working Capital</t>
  </si>
  <si>
    <t>Simplified Balance Sheet Forecast (₹ Crores)</t>
  </si>
  <si>
    <t>DSO (Days Sales Outstanding)</t>
  </si>
  <si>
    <t>DPO (Days Payble Outstanding)</t>
  </si>
  <si>
    <t>Simplified Cash Flow Forecast</t>
  </si>
  <si>
    <t>Change in Receivables</t>
  </si>
  <si>
    <t>Change in Payables</t>
  </si>
  <si>
    <t>Operating Cash Flow</t>
  </si>
  <si>
    <t>Capex</t>
  </si>
  <si>
    <t>Free Cash Flow</t>
  </si>
  <si>
    <t>Ending Cash</t>
  </si>
  <si>
    <t>CapEx % Revenue</t>
  </si>
  <si>
    <t>Integrated Financial Forecast Model</t>
  </si>
  <si>
    <t xml:space="preserve">Working Capital Cycle </t>
  </si>
  <si>
    <t>The base case forecast assumes 8% annual revenue growth supported by continued demand for digital transformation services. Operating margins are maintained at 25% based on historical profitability trends, while net margins remain stable at 16%. Working capital assumptions are derived using DSO and DPO metrics, and capital expenditures are forecast at 3% of revenue to support long-term business expansion.</t>
  </si>
  <si>
    <t>Key Forecast Insights</t>
  </si>
  <si>
    <t>• Revenue projected to grow 26% between FY2025–FY2028.</t>
  </si>
  <si>
    <t>• Operating profit expected to exceed ₹51,000 Cr by FY2028.</t>
  </si>
  <si>
    <t>• Strong free cash flow generation supports future investments and shareholder returns.</t>
  </si>
  <si>
    <t>INFOSYS FP&amp;A STRATEGIC FORECAST REPORT</t>
  </si>
  <si>
    <t>FY2026F – FY2028F</t>
  </si>
  <si>
    <t>1) This FP&amp;A forecasting model was developed to evaluate Infosys' future financial performance using historical operating trends, workforce planning assumptions, cost driver analysis, scenario-based forecasting, working capital modeling, and cash flow projections.</t>
  </si>
  <si>
    <t>2) The model integrates revenue growth assumptions, profitability targets, workforce capacity planning, operating cost forecasts, and capital expenditure requirements to provide management with a forward-looking financial view under multiple business conditions.</t>
  </si>
  <si>
    <t>Key Forecast Highlights</t>
  </si>
  <si>
    <t>Change</t>
  </si>
  <si>
    <t>Workforce</t>
  </si>
  <si>
    <t>The forecast indicates sustainable revenue growth supported by controlled workforce expansion and stable profitability. Operating margins remain resilient at 25%, while free cash flow generation strengthens the company's financial flexibility. Workforce planning assumptions remain aligned with business growth requirements and historical attrition patterns.</t>
  </si>
  <si>
    <t>Conclusion</t>
  </si>
  <si>
    <t>Revenue Outlook</t>
  </si>
  <si>
    <t>Revenue is projected to increase from ₹162,990 Cr in FY2025 to ₹205,320 Cr by FY2028, representing approximately 26% cumulative growth. Growth assumptions are supported by continued demand for digital transformation, cloud services, AI adoption, and enterprise technology spending.</t>
  </si>
  <si>
    <t>Profitability Outlook</t>
  </si>
  <si>
    <t>Operating margins are forecast at 25% across the planning horizon. Historical analysis suggests Infosys maintains a disciplined operating structure with operating costs averaging approximately 75% of revenue. Stable margins indicate effective cost control despite business expansion.</t>
  </si>
  <si>
    <t>Workforce Insights</t>
  </si>
  <si>
    <t>Workforce planning assumptions incorporate both attrition replacement and growth hiring requirements. Employee count is expected to increase gradually from 323,578 employees in FY2025 to approximately 343,362 employees by FY2028, supporting future delivery capacity while maintaining productivity levels.</t>
  </si>
  <si>
    <t>Cash Flow Insights</t>
  </si>
  <si>
    <t>Free cash flow remains positive throughout the forecast period despite ongoing capital investments. Increasing cash balances indicate strong internal funding capacity and reduced reliance on external financing.</t>
  </si>
  <si>
    <t>Potential Impact</t>
  </si>
  <si>
    <t>Management Action</t>
  </si>
  <si>
    <t>Higher Attrition</t>
  </si>
  <si>
    <t>Delivery disruption</t>
  </si>
  <si>
    <t>Strengthen retention programs and employee engagement</t>
  </si>
  <si>
    <t>Margin pressure</t>
  </si>
  <si>
    <t>Improve productivity and utilization rates</t>
  </si>
  <si>
    <t>Demand Slowdown</t>
  </si>
  <si>
    <t>Lower revenue growth</t>
  </si>
  <si>
    <t>Diversify service offerings and client portfolio</t>
  </si>
  <si>
    <t>Pricing Pressure</t>
  </si>
  <si>
    <t>Margin compression</t>
  </si>
  <si>
    <t>Focus on high-value and AI-enabled services</t>
  </si>
  <si>
    <t>Lower Utilization</t>
  </si>
  <si>
    <t>Reduced profitability</t>
  </si>
  <si>
    <t>Improve resource planning and staffing efficiency</t>
  </si>
  <si>
    <t>CFO Recommendations</t>
  </si>
  <si>
    <t>1. Continue investments in AI-enabled delivery models to improve workforce productivity.</t>
  </si>
  <si>
    <t>2. Maintain workforce growth slightly above attrition levels to support revenue expansion.</t>
  </si>
  <si>
    <t>3. Monitor wage inflation and utilization metrics closely to protect operating margins.</t>
  </si>
  <si>
    <t>4. Preserve capital allocation discipline while funding strategic growth initiatives.</t>
  </si>
  <si>
    <t>5. Maintain positive free cash flow generation to support long-term shareholder value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</si>
</sst>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70" formatCode="0.0%"/>
    <numFmt numFmtId="172" formatCode="_ * #,##0_ ;_ * \-#,##0_ ;_ * &quot;-&quot;??_ ;_ @_ "/>
    <numFmt numFmtId="177" formatCode="&quot;₹&quot;\ #,##0"/>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8"/>
      <color theme="1"/>
      <name val="Calibri"/>
      <family val="2"/>
      <scheme val="minor"/>
    </font>
    <font>
      <sz val="18"/>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80">
    <xf numFmtId="0" fontId="0" fillId="0" borderId="0" xfId="0"/>
    <xf numFmtId="0" fontId="2" fillId="0" borderId="0" xfId="0" applyFont="1" applyAlignment="1">
      <alignment horizontal="center"/>
    </xf>
    <xf numFmtId="0" fontId="2" fillId="0" borderId="0" xfId="0" applyFont="1" applyAlignment="1">
      <alignment horizontal="center" vertical="center"/>
    </xf>
    <xf numFmtId="0" fontId="0" fillId="0" borderId="0" xfId="0" applyAlignment="1">
      <alignment horizontal="center"/>
    </xf>
    <xf numFmtId="164" fontId="0" fillId="0" borderId="0" xfId="0" applyNumberFormat="1" applyAlignment="1">
      <alignment horizontal="center"/>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9" fontId="0" fillId="0" borderId="0" xfId="1" applyFont="1" applyAlignment="1">
      <alignment horizontal="center" vertical="center" wrapText="1"/>
    </xf>
    <xf numFmtId="0" fontId="3" fillId="0" borderId="0" xfId="0" applyFont="1"/>
    <xf numFmtId="9" fontId="0" fillId="0" borderId="0" xfId="1" applyFont="1" applyAlignment="1">
      <alignment horizontal="center"/>
    </xf>
    <xf numFmtId="164" fontId="0" fillId="0" borderId="0" xfId="1" applyNumberFormat="1" applyFont="1" applyAlignment="1">
      <alignment horizontal="center" vertical="center" wrapText="1"/>
    </xf>
    <xf numFmtId="9" fontId="0" fillId="0" borderId="0" xfId="0" applyNumberFormat="1" applyAlignment="1">
      <alignment horizontal="center" vertical="center" wrapText="1"/>
    </xf>
    <xf numFmtId="0" fontId="4" fillId="0" borderId="0" xfId="0" applyFont="1"/>
    <xf numFmtId="0" fontId="0" fillId="0" borderId="2" xfId="0" applyBorder="1" applyAlignment="1">
      <alignment horizontal="center"/>
    </xf>
    <xf numFmtId="0" fontId="0" fillId="0" borderId="3" xfId="0" applyBorder="1" applyAlignment="1">
      <alignment horizontal="center"/>
    </xf>
    <xf numFmtId="0" fontId="3" fillId="0" borderId="1" xfId="0" applyFont="1" applyBorder="1" applyAlignment="1">
      <alignment horizontal="center"/>
    </xf>
    <xf numFmtId="0" fontId="2" fillId="0" borderId="0" xfId="0" applyFont="1"/>
    <xf numFmtId="0" fontId="0" fillId="0" borderId="0" xfId="0" applyAlignment="1">
      <alignment vertical="center"/>
    </xf>
    <xf numFmtId="0" fontId="2" fillId="0" borderId="6" xfId="0" applyFont="1" applyBorder="1" applyAlignment="1">
      <alignment horizontal="center" vertical="center"/>
    </xf>
    <xf numFmtId="0" fontId="0" fillId="0" borderId="7" xfId="0" applyBorder="1" applyAlignment="1">
      <alignment horizontal="center" wrapText="1"/>
    </xf>
    <xf numFmtId="0" fontId="0" fillId="0" borderId="8" xfId="0" applyBorder="1"/>
    <xf numFmtId="0" fontId="0" fillId="0" borderId="7" xfId="0" applyBorder="1" applyAlignment="1">
      <alignment horizontal="center" vertical="center" wrapText="1"/>
    </xf>
    <xf numFmtId="164" fontId="0" fillId="0" borderId="0" xfId="0" applyNumberFormat="1" applyAlignment="1">
      <alignment horizontal="center" vertical="center" wrapText="1"/>
    </xf>
    <xf numFmtId="0" fontId="0" fillId="0" borderId="0" xfId="0" applyAlignment="1">
      <alignment horizontal="left"/>
    </xf>
    <xf numFmtId="0" fontId="3" fillId="0" borderId="0" xfId="0" applyFont="1" applyAlignment="1">
      <alignment vertical="center"/>
    </xf>
    <xf numFmtId="164" fontId="2" fillId="0" borderId="0" xfId="0" applyNumberFormat="1" applyFont="1" applyAlignment="1">
      <alignment horizontal="center"/>
    </xf>
    <xf numFmtId="0" fontId="6" fillId="0" borderId="0" xfId="0" applyFont="1"/>
    <xf numFmtId="0" fontId="6" fillId="0" borderId="1" xfId="0" applyFont="1" applyBorder="1"/>
    <xf numFmtId="164" fontId="6" fillId="0" borderId="1" xfId="0" applyNumberFormat="1" applyFont="1" applyBorder="1" applyAlignment="1">
      <alignment horizontal="center"/>
    </xf>
    <xf numFmtId="164" fontId="6" fillId="0" borderId="1" xfId="0" applyNumberFormat="1" applyFont="1" applyBorder="1" applyAlignment="1">
      <alignment horizontal="center" vertical="center"/>
    </xf>
    <xf numFmtId="0" fontId="6" fillId="0" borderId="0" xfId="0" applyFont="1" applyAlignment="1">
      <alignment horizontal="center"/>
    </xf>
    <xf numFmtId="0" fontId="3" fillId="0" borderId="0" xfId="0" applyFont="1" applyAlignment="1">
      <alignment horizontal="center"/>
    </xf>
    <xf numFmtId="0" fontId="3" fillId="0" borderId="0" xfId="0" applyFont="1" applyAlignment="1">
      <alignment horizontal="left"/>
    </xf>
    <xf numFmtId="0" fontId="0" fillId="0" borderId="0" xfId="0" applyAlignment="1">
      <alignment horizontal="left" vertical="center" wrapText="1"/>
    </xf>
    <xf numFmtId="0" fontId="0" fillId="0" borderId="0" xfId="0" applyAlignment="1">
      <alignment horizontal="center" vertical="center" wrapText="1"/>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left"/>
    </xf>
    <xf numFmtId="0" fontId="2" fillId="0" borderId="7" xfId="0" applyFont="1" applyBorder="1" applyAlignment="1">
      <alignment horizontal="center" vertical="center" wrapText="1"/>
    </xf>
    <xf numFmtId="0" fontId="5" fillId="0" borderId="1" xfId="0" applyFont="1" applyBorder="1" applyAlignment="1">
      <alignment horizontal="center" vertical="center"/>
    </xf>
    <xf numFmtId="3" fontId="0" fillId="0" borderId="0" xfId="0" applyNumberFormat="1"/>
    <xf numFmtId="170" fontId="0" fillId="0" borderId="0" xfId="1" applyNumberFormat="1" applyFont="1" applyAlignment="1">
      <alignment horizontal="center" vertical="center" wrapText="1"/>
    </xf>
    <xf numFmtId="0" fontId="0" fillId="0" borderId="0" xfId="0"/>
    <xf numFmtId="0" fontId="0" fillId="0" borderId="0" xfId="0" applyAlignment="1">
      <alignment wrapText="1"/>
    </xf>
    <xf numFmtId="0" fontId="0" fillId="0" borderId="0" xfId="0" applyAlignment="1">
      <alignment vertical="center" wrapText="1"/>
    </xf>
    <xf numFmtId="10" fontId="0" fillId="0" borderId="0" xfId="0" applyNumberFormat="1" applyAlignment="1">
      <alignment horizontal="center" vertical="center" wrapText="1"/>
    </xf>
    <xf numFmtId="170" fontId="0" fillId="0" borderId="0" xfId="0" applyNumberFormat="1" applyAlignment="1">
      <alignment horizontal="center" vertical="center" wrapText="1"/>
    </xf>
    <xf numFmtId="3" fontId="0" fillId="0" borderId="0" xfId="0" applyNumberFormat="1" applyAlignment="1">
      <alignment horizontal="center" vertical="center" wrapText="1"/>
    </xf>
    <xf numFmtId="3" fontId="0" fillId="0" borderId="0" xfId="0" applyNumberFormat="1" applyAlignment="1">
      <alignment vertical="center" wrapText="1"/>
    </xf>
    <xf numFmtId="172" fontId="0" fillId="0" borderId="0" xfId="2" applyNumberFormat="1" applyFont="1" applyAlignment="1">
      <alignment vertical="center" wrapText="1"/>
    </xf>
    <xf numFmtId="172" fontId="0" fillId="0" borderId="0" xfId="2" applyNumberFormat="1" applyFont="1" applyAlignment="1">
      <alignment horizontal="center" vertical="center"/>
    </xf>
    <xf numFmtId="0" fontId="0" fillId="2" borderId="0" xfId="0" applyFill="1" applyAlignment="1">
      <alignment horizontal="center"/>
    </xf>
    <xf numFmtId="0" fontId="2" fillId="0" borderId="0" xfId="0" applyFont="1" applyFill="1" applyBorder="1" applyAlignment="1">
      <alignment vertical="center" wrapText="1"/>
    </xf>
    <xf numFmtId="0" fontId="0" fillId="0" borderId="0" xfId="0" applyFill="1" applyBorder="1" applyAlignment="1">
      <alignment horizontal="right" vertical="center" wrapText="1"/>
    </xf>
    <xf numFmtId="10" fontId="0" fillId="0" borderId="0" xfId="0" applyNumberFormat="1" applyFill="1" applyBorder="1" applyAlignment="1">
      <alignment horizontal="center" vertical="center" wrapText="1"/>
    </xf>
    <xf numFmtId="170" fontId="0" fillId="0" borderId="0" xfId="0" applyNumberFormat="1" applyFill="1" applyBorder="1" applyAlignment="1">
      <alignment horizontal="center" vertical="center" wrapText="1"/>
    </xf>
    <xf numFmtId="177" fontId="0" fillId="0" borderId="0" xfId="2" applyNumberFormat="1" applyFont="1" applyAlignment="1">
      <alignment horizontal="center" vertical="center" wrapText="1"/>
    </xf>
    <xf numFmtId="177" fontId="0" fillId="0" borderId="0" xfId="0" applyNumberFormat="1" applyAlignment="1">
      <alignment horizontal="center" vertical="center" wrapText="1"/>
    </xf>
    <xf numFmtId="0" fontId="0" fillId="2" borderId="10" xfId="0" applyFill="1" applyBorder="1" applyAlignment="1">
      <alignment horizontal="center" vertical="center" wrapText="1"/>
    </xf>
    <xf numFmtId="177" fontId="0" fillId="2" borderId="10" xfId="0" applyNumberFormat="1" applyFill="1" applyBorder="1" applyAlignment="1">
      <alignment horizontal="center" vertical="center" wrapText="1"/>
    </xf>
    <xf numFmtId="9" fontId="0" fillId="2" borderId="10" xfId="1" applyFont="1" applyFill="1" applyBorder="1" applyAlignment="1">
      <alignment horizontal="center" vertical="center" wrapText="1"/>
    </xf>
    <xf numFmtId="164" fontId="0" fillId="0" borderId="0" xfId="0" applyNumberFormat="1"/>
    <xf numFmtId="0" fontId="3" fillId="0" borderId="0" xfId="0" applyFont="1" applyAlignment="1">
      <alignment horizontal="center" vertical="center"/>
    </xf>
    <xf numFmtId="1" fontId="0" fillId="0" borderId="0" xfId="0" applyNumberFormat="1" applyAlignment="1">
      <alignment horizontal="center" vertical="center" wrapText="1"/>
    </xf>
    <xf numFmtId="0" fontId="7" fillId="0" borderId="0" xfId="0" applyFont="1" applyAlignment="1">
      <alignment horizontal="center"/>
    </xf>
    <xf numFmtId="0" fontId="0" fillId="3" borderId="1" xfId="0" applyFill="1" applyBorder="1" applyAlignment="1">
      <alignment wrapText="1"/>
    </xf>
    <xf numFmtId="0" fontId="3" fillId="0" borderId="1" xfId="0"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right" vertical="center" wrapText="1"/>
    </xf>
    <xf numFmtId="0" fontId="0" fillId="0" borderId="1" xfId="0" applyBorder="1" applyAlignment="1">
      <alignment vertical="center" wrapText="1"/>
    </xf>
    <xf numFmtId="3" fontId="0" fillId="0" borderId="1" xfId="0" applyNumberFormat="1" applyBorder="1" applyAlignment="1">
      <alignment horizontal="right" vertical="center" wrapText="1"/>
    </xf>
    <xf numFmtId="0" fontId="0" fillId="0" borderId="1" xfId="0" applyBorder="1" applyAlignment="1">
      <alignment vertical="center" wrapText="1"/>
    </xf>
    <xf numFmtId="0" fontId="2" fillId="0" borderId="1" xfId="0" applyFont="1" applyBorder="1" applyAlignment="1">
      <alignment horizontal="center"/>
    </xf>
    <xf numFmtId="0" fontId="4" fillId="0" borderId="1" xfId="0" applyFont="1" applyBorder="1" applyAlignment="1">
      <alignment horizontal="center"/>
    </xf>
    <xf numFmtId="0" fontId="3" fillId="0" borderId="0" xfId="0" applyFont="1" applyAlignment="1">
      <alignment horizontal="center"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lineChart>
        <c:grouping val="standard"/>
        <c:varyColors val="0"/>
        <c:ser>
          <c:idx val="0"/>
          <c:order val="0"/>
          <c:tx>
            <c:strRef>
              <c:f>Dashboard!$D$3</c:f>
              <c:strCache>
                <c:ptCount val="1"/>
                <c:pt idx="0">
                  <c:v>Revenue</c:v>
                </c:pt>
              </c:strCache>
            </c:strRef>
          </c:tx>
          <c:spPr>
            <a:ln w="28575" cap="rnd">
              <a:solidFill>
                <a:schemeClr val="accent6"/>
              </a:solidFill>
              <a:round/>
            </a:ln>
            <a:effectLst/>
          </c:spPr>
          <c:marker>
            <c:symbol val="none"/>
          </c:marker>
          <c:cat>
            <c:strRef>
              <c:f>Dashboard!$E$2:$L$2</c:f>
              <c:strCache>
                <c:ptCount val="8"/>
                <c:pt idx="0">
                  <c:v>2021A</c:v>
                </c:pt>
                <c:pt idx="1">
                  <c:v>2022A</c:v>
                </c:pt>
                <c:pt idx="2">
                  <c:v>2023A</c:v>
                </c:pt>
                <c:pt idx="3">
                  <c:v>2024A</c:v>
                </c:pt>
                <c:pt idx="4">
                  <c:v>2025A</c:v>
                </c:pt>
                <c:pt idx="5">
                  <c:v>2026F</c:v>
                </c:pt>
                <c:pt idx="6">
                  <c:v>2027F</c:v>
                </c:pt>
                <c:pt idx="7">
                  <c:v>2028F</c:v>
                </c:pt>
              </c:strCache>
            </c:strRef>
          </c:cat>
          <c:val>
            <c:numRef>
              <c:f>Dashboard!$E$3:$L$3</c:f>
              <c:numCache>
                <c:formatCode>"₹"\ #,##0.00</c:formatCode>
                <c:ptCount val="8"/>
                <c:pt idx="0">
                  <c:v>100472</c:v>
                </c:pt>
                <c:pt idx="1">
                  <c:v>121641</c:v>
                </c:pt>
                <c:pt idx="2">
                  <c:v>146767</c:v>
                </c:pt>
                <c:pt idx="3">
                  <c:v>153670</c:v>
                </c:pt>
                <c:pt idx="4">
                  <c:v>162990</c:v>
                </c:pt>
                <c:pt idx="5">
                  <c:v>176029.2</c:v>
                </c:pt>
                <c:pt idx="6">
                  <c:v>190111.53600000002</c:v>
                </c:pt>
                <c:pt idx="7">
                  <c:v>205320.45888000005</c:v>
                </c:pt>
              </c:numCache>
            </c:numRef>
          </c:val>
          <c:smooth val="0"/>
          <c:extLst>
            <c:ext xmlns:c16="http://schemas.microsoft.com/office/drawing/2014/chart" uri="{C3380CC4-5D6E-409C-BE32-E72D297353CC}">
              <c16:uniqueId val="{00000000-0533-420A-B211-A997AD3063B0}"/>
            </c:ext>
          </c:extLst>
        </c:ser>
        <c:dLbls>
          <c:showLegendKey val="0"/>
          <c:showVal val="0"/>
          <c:showCatName val="0"/>
          <c:showSerName val="0"/>
          <c:showPercent val="0"/>
          <c:showBubbleSize val="0"/>
        </c:dLbls>
        <c:smooth val="0"/>
        <c:axId val="627313679"/>
        <c:axId val="627321359"/>
      </c:lineChart>
      <c:catAx>
        <c:axId val="62731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21359"/>
        <c:crosses val="autoZero"/>
        <c:auto val="1"/>
        <c:lblAlgn val="ctr"/>
        <c:lblOffset val="100"/>
        <c:noMultiLvlLbl val="0"/>
      </c:catAx>
      <c:valAx>
        <c:axId val="62732135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13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Dashboard!$D$6</c:f>
              <c:strCache>
                <c:ptCount val="1"/>
                <c:pt idx="0">
                  <c:v>Operating Profit</c:v>
                </c:pt>
              </c:strCache>
            </c:strRef>
          </c:tx>
          <c:spPr>
            <a:ln w="28575" cap="rnd">
              <a:solidFill>
                <a:schemeClr val="accent2"/>
              </a:solidFill>
              <a:round/>
            </a:ln>
            <a:effectLst/>
          </c:spPr>
          <c:marker>
            <c:symbol val="none"/>
          </c:marker>
          <c:cat>
            <c:strRef>
              <c:f>Dashboard!$E$5:$L$5</c:f>
              <c:strCache>
                <c:ptCount val="8"/>
                <c:pt idx="0">
                  <c:v>2021A</c:v>
                </c:pt>
                <c:pt idx="1">
                  <c:v>2022A</c:v>
                </c:pt>
                <c:pt idx="2">
                  <c:v>2023A</c:v>
                </c:pt>
                <c:pt idx="3">
                  <c:v>2024A</c:v>
                </c:pt>
                <c:pt idx="4">
                  <c:v>2025A</c:v>
                </c:pt>
                <c:pt idx="5">
                  <c:v>2026F</c:v>
                </c:pt>
                <c:pt idx="6">
                  <c:v>2027F</c:v>
                </c:pt>
                <c:pt idx="7">
                  <c:v>2028F</c:v>
                </c:pt>
              </c:strCache>
            </c:strRef>
          </c:cat>
          <c:val>
            <c:numRef>
              <c:f>Dashboard!$E$6:$L$6</c:f>
              <c:numCache>
                <c:formatCode>"₹"\ #,##0.00</c:formatCode>
                <c:ptCount val="8"/>
                <c:pt idx="0">
                  <c:v>27889</c:v>
                </c:pt>
                <c:pt idx="1">
                  <c:v>31491</c:v>
                </c:pt>
                <c:pt idx="2">
                  <c:v>35130</c:v>
                </c:pt>
                <c:pt idx="3">
                  <c:v>36425</c:v>
                </c:pt>
                <c:pt idx="4">
                  <c:v>39236</c:v>
                </c:pt>
                <c:pt idx="5">
                  <c:v>44007.3</c:v>
                </c:pt>
                <c:pt idx="6">
                  <c:v>47527.884000000005</c:v>
                </c:pt>
                <c:pt idx="7">
                  <c:v>51330.114720000012</c:v>
                </c:pt>
              </c:numCache>
            </c:numRef>
          </c:val>
          <c:smooth val="0"/>
          <c:extLst>
            <c:ext xmlns:c16="http://schemas.microsoft.com/office/drawing/2014/chart" uri="{C3380CC4-5D6E-409C-BE32-E72D297353CC}">
              <c16:uniqueId val="{00000000-F702-46E6-85D4-C485B946ED0E}"/>
            </c:ext>
          </c:extLst>
        </c:ser>
        <c:dLbls>
          <c:showLegendKey val="0"/>
          <c:showVal val="0"/>
          <c:showCatName val="0"/>
          <c:showSerName val="0"/>
          <c:showPercent val="0"/>
          <c:showBubbleSize val="0"/>
        </c:dLbls>
        <c:smooth val="0"/>
        <c:axId val="627306959"/>
        <c:axId val="627305039"/>
      </c:lineChart>
      <c:catAx>
        <c:axId val="62730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05039"/>
        <c:crosses val="autoZero"/>
        <c:auto val="1"/>
        <c:lblAlgn val="ctr"/>
        <c:lblOffset val="100"/>
        <c:noMultiLvlLbl val="0"/>
      </c:catAx>
      <c:valAx>
        <c:axId val="62730503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06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lineChart>
        <c:grouping val="standard"/>
        <c:varyColors val="0"/>
        <c:ser>
          <c:idx val="0"/>
          <c:order val="0"/>
          <c:tx>
            <c:strRef>
              <c:f>Dashboard!$D$9</c:f>
              <c:strCache>
                <c:ptCount val="1"/>
                <c:pt idx="0">
                  <c:v>Net Profit</c:v>
                </c:pt>
              </c:strCache>
            </c:strRef>
          </c:tx>
          <c:spPr>
            <a:ln w="28575" cap="rnd">
              <a:solidFill>
                <a:schemeClr val="accent4"/>
              </a:solidFill>
              <a:round/>
            </a:ln>
            <a:effectLst/>
          </c:spPr>
          <c:marker>
            <c:symbol val="none"/>
          </c:marker>
          <c:cat>
            <c:strRef>
              <c:f>Dashboard!$E$8:$L$8</c:f>
              <c:strCache>
                <c:ptCount val="8"/>
                <c:pt idx="0">
                  <c:v>2021A</c:v>
                </c:pt>
                <c:pt idx="1">
                  <c:v>2022A</c:v>
                </c:pt>
                <c:pt idx="2">
                  <c:v>2023A</c:v>
                </c:pt>
                <c:pt idx="3">
                  <c:v>2024A</c:v>
                </c:pt>
                <c:pt idx="4">
                  <c:v>2025A</c:v>
                </c:pt>
                <c:pt idx="5">
                  <c:v>2026F</c:v>
                </c:pt>
                <c:pt idx="6">
                  <c:v>2027F</c:v>
                </c:pt>
                <c:pt idx="7">
                  <c:v>2028F</c:v>
                </c:pt>
              </c:strCache>
            </c:strRef>
          </c:cat>
          <c:val>
            <c:numRef>
              <c:f>Dashboard!$E$9:$L$9</c:f>
              <c:numCache>
                <c:formatCode>"₹"\ #,##0.00</c:formatCode>
                <c:ptCount val="8"/>
                <c:pt idx="0">
                  <c:v>19423</c:v>
                </c:pt>
                <c:pt idx="1">
                  <c:v>22146</c:v>
                </c:pt>
                <c:pt idx="2">
                  <c:v>24108</c:v>
                </c:pt>
                <c:pt idx="3">
                  <c:v>26248</c:v>
                </c:pt>
                <c:pt idx="4">
                  <c:v>26750</c:v>
                </c:pt>
                <c:pt idx="5">
                  <c:v>28164.672000000002</c:v>
                </c:pt>
                <c:pt idx="6">
                  <c:v>30417.845760000004</c:v>
                </c:pt>
                <c:pt idx="7">
                  <c:v>32851.273420800011</c:v>
                </c:pt>
              </c:numCache>
            </c:numRef>
          </c:val>
          <c:smooth val="0"/>
          <c:extLst>
            <c:ext xmlns:c16="http://schemas.microsoft.com/office/drawing/2014/chart" uri="{C3380CC4-5D6E-409C-BE32-E72D297353CC}">
              <c16:uniqueId val="{00000000-A3F4-4856-978B-CE5EEFF6691F}"/>
            </c:ext>
          </c:extLst>
        </c:ser>
        <c:dLbls>
          <c:showLegendKey val="0"/>
          <c:showVal val="0"/>
          <c:showCatName val="0"/>
          <c:showSerName val="0"/>
          <c:showPercent val="0"/>
          <c:showBubbleSize val="0"/>
        </c:dLbls>
        <c:smooth val="0"/>
        <c:axId val="627343919"/>
        <c:axId val="627344399"/>
      </c:lineChart>
      <c:catAx>
        <c:axId val="62734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44399"/>
        <c:crosses val="autoZero"/>
        <c:auto val="1"/>
        <c:lblAlgn val="ctr"/>
        <c:lblOffset val="100"/>
        <c:noMultiLvlLbl val="0"/>
      </c:catAx>
      <c:valAx>
        <c:axId val="62734439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43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151112</xdr:colOff>
      <xdr:row>11</xdr:row>
      <xdr:rowOff>42906</xdr:rowOff>
    </xdr:from>
    <xdr:to>
      <xdr:col>1</xdr:col>
      <xdr:colOff>2110945</xdr:colOff>
      <xdr:row>29</xdr:row>
      <xdr:rowOff>42905</xdr:rowOff>
    </xdr:to>
    <xdr:graphicFrame macro="">
      <xdr:nvGraphicFramePr>
        <xdr:cNvPr id="2" name="Chart 1">
          <a:extLst>
            <a:ext uri="{FF2B5EF4-FFF2-40B4-BE49-F238E27FC236}">
              <a16:creationId xmlns:a16="http://schemas.microsoft.com/office/drawing/2014/main" id="{3810D20E-BAE5-78E2-4F32-A25099778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33208</xdr:colOff>
      <xdr:row>11</xdr:row>
      <xdr:rowOff>44451</xdr:rowOff>
    </xdr:from>
    <xdr:to>
      <xdr:col>7</xdr:col>
      <xdr:colOff>892431</xdr:colOff>
      <xdr:row>29</xdr:row>
      <xdr:rowOff>77230</xdr:rowOff>
    </xdr:to>
    <xdr:graphicFrame macro="">
      <xdr:nvGraphicFramePr>
        <xdr:cNvPr id="5" name="Chart 4">
          <a:extLst>
            <a:ext uri="{FF2B5EF4-FFF2-40B4-BE49-F238E27FC236}">
              <a16:creationId xmlns:a16="http://schemas.microsoft.com/office/drawing/2014/main" id="{ED275AC7-53A7-E474-D7E3-FD1927BC5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668123</xdr:colOff>
      <xdr:row>11</xdr:row>
      <xdr:rowOff>18708</xdr:rowOff>
    </xdr:from>
    <xdr:to>
      <xdr:col>16</xdr:col>
      <xdr:colOff>163040</xdr:colOff>
      <xdr:row>29</xdr:row>
      <xdr:rowOff>51487</xdr:rowOff>
    </xdr:to>
    <xdr:graphicFrame macro="">
      <xdr:nvGraphicFramePr>
        <xdr:cNvPr id="6" name="Chart 5">
          <a:extLst>
            <a:ext uri="{FF2B5EF4-FFF2-40B4-BE49-F238E27FC236}">
              <a16:creationId xmlns:a16="http://schemas.microsoft.com/office/drawing/2014/main" id="{5828CA11-1568-C44A-D0D1-2FEBD7F48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workbookViewId="0">
      <selection activeCell="G6" sqref="G6"/>
    </sheetView>
  </sheetViews>
  <sheetFormatPr defaultRowHeight="14.5" x14ac:dyDescent="0.35"/>
  <cols>
    <col min="1" max="1" width="33.36328125" customWidth="1"/>
    <col min="2" max="2" width="41.1796875" customWidth="1"/>
  </cols>
  <sheetData>
    <row r="1" spans="1:2" x14ac:dyDescent="0.35">
      <c r="A1" s="6" t="s">
        <v>171</v>
      </c>
      <c r="B1" s="6" t="s">
        <v>136</v>
      </c>
    </row>
    <row r="2" spans="1:2" x14ac:dyDescent="0.35">
      <c r="A2" s="7" t="s">
        <v>172</v>
      </c>
      <c r="B2" s="7" t="s">
        <v>170</v>
      </c>
    </row>
    <row r="3" spans="1:2" ht="29" x14ac:dyDescent="0.35">
      <c r="A3" s="7" t="s">
        <v>173</v>
      </c>
      <c r="B3" s="7" t="s">
        <v>174</v>
      </c>
    </row>
    <row r="4" spans="1:2" x14ac:dyDescent="0.35">
      <c r="A4" s="7"/>
      <c r="B4" s="7"/>
    </row>
    <row r="5" spans="1:2" x14ac:dyDescent="0.35">
      <c r="A5" s="7" t="s">
        <v>175</v>
      </c>
      <c r="B5" s="7"/>
    </row>
    <row r="6" spans="1:2" ht="58" x14ac:dyDescent="0.35">
      <c r="A6" s="7" t="s">
        <v>176</v>
      </c>
      <c r="B6" s="7" t="s">
        <v>177</v>
      </c>
    </row>
    <row r="7" spans="1:2" ht="43.5" x14ac:dyDescent="0.35">
      <c r="A7" s="7" t="s">
        <v>178</v>
      </c>
      <c r="B7" s="7" t="s">
        <v>179</v>
      </c>
    </row>
    <row r="8" spans="1:2" x14ac:dyDescent="0.35">
      <c r="A8" s="7"/>
      <c r="B8" s="7"/>
    </row>
    <row r="9" spans="1:2" x14ac:dyDescent="0.35">
      <c r="A9" s="7" t="s">
        <v>180</v>
      </c>
      <c r="B9" s="7"/>
    </row>
    <row r="10" spans="1:2" x14ac:dyDescent="0.35">
      <c r="A10" s="7" t="s">
        <v>181</v>
      </c>
      <c r="B10" s="7" t="s">
        <v>182</v>
      </c>
    </row>
    <row r="11" spans="1:2" x14ac:dyDescent="0.35">
      <c r="A11" s="7" t="s">
        <v>183</v>
      </c>
      <c r="B11" s="7" t="s">
        <v>184</v>
      </c>
    </row>
    <row r="12" spans="1:2" x14ac:dyDescent="0.35">
      <c r="A12" s="7" t="s">
        <v>185</v>
      </c>
      <c r="B12" s="7" t="s">
        <v>186</v>
      </c>
    </row>
    <row r="13" spans="1:2" x14ac:dyDescent="0.35">
      <c r="A13" s="7" t="s">
        <v>187</v>
      </c>
      <c r="B13" s="7" t="s">
        <v>188</v>
      </c>
    </row>
    <row r="14" spans="1:2" x14ac:dyDescent="0.35">
      <c r="A14" s="7" t="s">
        <v>189</v>
      </c>
      <c r="B14" s="7" t="s">
        <v>190</v>
      </c>
    </row>
    <row r="15" spans="1:2" x14ac:dyDescent="0.35">
      <c r="A15" s="7" t="s">
        <v>191</v>
      </c>
      <c r="B15" s="7" t="s">
        <v>192</v>
      </c>
    </row>
    <row r="16" spans="1:2" x14ac:dyDescent="0.35">
      <c r="A16" s="7" t="s">
        <v>193</v>
      </c>
      <c r="B16" s="7" t="s">
        <v>194</v>
      </c>
    </row>
    <row r="17" spans="1:2" x14ac:dyDescent="0.35">
      <c r="A17" s="7" t="s">
        <v>195</v>
      </c>
      <c r="B17" s="7" t="s">
        <v>196</v>
      </c>
    </row>
    <row r="18" spans="1:2" x14ac:dyDescent="0.35">
      <c r="A18" s="7"/>
      <c r="B18" s="7"/>
    </row>
    <row r="19" spans="1:2" x14ac:dyDescent="0.35">
      <c r="A19" s="7" t="s">
        <v>197</v>
      </c>
      <c r="B19" s="7"/>
    </row>
    <row r="20" spans="1:2" x14ac:dyDescent="0.35">
      <c r="A20" s="7" t="s">
        <v>198</v>
      </c>
      <c r="B20" s="7" t="s">
        <v>199</v>
      </c>
    </row>
    <row r="21" spans="1:2" x14ac:dyDescent="0.35">
      <c r="A21" s="7" t="s">
        <v>200</v>
      </c>
      <c r="B21" s="7" t="s">
        <v>201</v>
      </c>
    </row>
    <row r="22" spans="1:2" x14ac:dyDescent="0.35">
      <c r="A22" s="7" t="s">
        <v>202</v>
      </c>
      <c r="B22" s="7" t="s">
        <v>203</v>
      </c>
    </row>
    <row r="23" spans="1:2" x14ac:dyDescent="0.35">
      <c r="A23" s="7" t="s">
        <v>204</v>
      </c>
      <c r="B23" s="7" t="s">
        <v>205</v>
      </c>
    </row>
    <row r="24" spans="1:2" x14ac:dyDescent="0.35">
      <c r="A24" s="7"/>
      <c r="B24" s="7"/>
    </row>
    <row r="25" spans="1:2" x14ac:dyDescent="0.35">
      <c r="A25" s="7" t="s">
        <v>206</v>
      </c>
      <c r="B25" s="7"/>
    </row>
    <row r="26" spans="1:2" x14ac:dyDescent="0.35">
      <c r="A26" s="7" t="s">
        <v>207</v>
      </c>
      <c r="B26" s="7" t="s">
        <v>38</v>
      </c>
    </row>
    <row r="27" spans="1:2" x14ac:dyDescent="0.35">
      <c r="A27" s="7" t="s">
        <v>208</v>
      </c>
      <c r="B27" s="7" t="s">
        <v>41</v>
      </c>
    </row>
    <row r="28" spans="1:2" x14ac:dyDescent="0.35">
      <c r="A28" s="7" t="s">
        <v>209</v>
      </c>
      <c r="B28" s="7" t="s">
        <v>64</v>
      </c>
    </row>
    <row r="29" spans="1:2" x14ac:dyDescent="0.35">
      <c r="A29" s="7" t="s">
        <v>210</v>
      </c>
      <c r="B29" s="7" t="s">
        <v>45</v>
      </c>
    </row>
    <row r="30" spans="1:2" x14ac:dyDescent="0.35">
      <c r="A30" s="7" t="s">
        <v>211</v>
      </c>
      <c r="B30" s="7" t="s">
        <v>212</v>
      </c>
    </row>
    <row r="31" spans="1:2" x14ac:dyDescent="0.35">
      <c r="A31" s="7" t="s">
        <v>213</v>
      </c>
      <c r="B31" s="7" t="s">
        <v>214</v>
      </c>
    </row>
    <row r="32" spans="1:2" x14ac:dyDescent="0.35">
      <c r="A32" s="7" t="s">
        <v>215</v>
      </c>
      <c r="B32" s="7" t="s">
        <v>216</v>
      </c>
    </row>
    <row r="33" spans="1:2" x14ac:dyDescent="0.35">
      <c r="A33" s="7"/>
      <c r="B33" s="7"/>
    </row>
    <row r="34" spans="1:2" x14ac:dyDescent="0.35">
      <c r="A34" s="7" t="s">
        <v>217</v>
      </c>
      <c r="B34" s="7"/>
    </row>
    <row r="35" spans="1:2" ht="72.5" x14ac:dyDescent="0.35">
      <c r="A35" s="7" t="s">
        <v>218</v>
      </c>
      <c r="B35" s="7" t="s">
        <v>219</v>
      </c>
    </row>
    <row r="36" spans="1:2" x14ac:dyDescent="0.35">
      <c r="A36" s="7"/>
      <c r="B36" s="7"/>
    </row>
    <row r="37" spans="1:2" x14ac:dyDescent="0.35">
      <c r="A37" s="7" t="s">
        <v>220</v>
      </c>
      <c r="B37" s="7" t="s">
        <v>221</v>
      </c>
    </row>
    <row r="38" spans="1:2" x14ac:dyDescent="0.35">
      <c r="A38" s="7" t="s">
        <v>222</v>
      </c>
      <c r="B38" s="7" t="s">
        <v>223</v>
      </c>
    </row>
    <row r="39" spans="1:2" ht="29" x14ac:dyDescent="0.35">
      <c r="A39" s="7" t="s">
        <v>224</v>
      </c>
      <c r="B39" s="7" t="s">
        <v>225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96D4E-B188-4C20-8B03-20DA8B294A20}">
  <dimension ref="A1:D7"/>
  <sheetViews>
    <sheetView workbookViewId="0">
      <selection activeCell="H9" sqref="H9"/>
    </sheetView>
  </sheetViews>
  <sheetFormatPr defaultRowHeight="14.5" x14ac:dyDescent="0.35"/>
  <cols>
    <col min="1" max="1" width="16.36328125" customWidth="1"/>
    <col min="2" max="2" width="17.81640625" customWidth="1"/>
    <col min="3" max="3" width="26.6328125" customWidth="1"/>
    <col min="4" max="4" width="15.81640625" customWidth="1"/>
  </cols>
  <sheetData>
    <row r="1" spans="1:4" ht="15.5" x14ac:dyDescent="0.35">
      <c r="A1" s="33" t="s">
        <v>71</v>
      </c>
      <c r="B1" s="33"/>
      <c r="C1" s="33"/>
      <c r="D1" s="33"/>
    </row>
    <row r="2" spans="1:4" s="2" customFormat="1" x14ac:dyDescent="0.35">
      <c r="A2" s="2" t="s">
        <v>0</v>
      </c>
      <c r="B2" s="2" t="s">
        <v>1</v>
      </c>
      <c r="C2" s="2" t="s">
        <v>2</v>
      </c>
      <c r="D2" s="2" t="s">
        <v>3</v>
      </c>
    </row>
    <row r="3" spans="1:4" x14ac:dyDescent="0.35">
      <c r="A3" s="3">
        <v>2021</v>
      </c>
      <c r="B3" s="4">
        <v>100472</v>
      </c>
      <c r="C3" s="4">
        <v>27889</v>
      </c>
      <c r="D3" s="4">
        <v>19423</v>
      </c>
    </row>
    <row r="4" spans="1:4" x14ac:dyDescent="0.35">
      <c r="A4" s="3">
        <v>2022</v>
      </c>
      <c r="B4" s="4">
        <v>121641</v>
      </c>
      <c r="C4" s="4">
        <v>31491</v>
      </c>
      <c r="D4" s="4">
        <v>22146</v>
      </c>
    </row>
    <row r="5" spans="1:4" x14ac:dyDescent="0.35">
      <c r="A5" s="3">
        <v>2023</v>
      </c>
      <c r="B5" s="4">
        <v>146767</v>
      </c>
      <c r="C5" s="4">
        <v>35130</v>
      </c>
      <c r="D5" s="4">
        <v>24108</v>
      </c>
    </row>
    <row r="6" spans="1:4" x14ac:dyDescent="0.35">
      <c r="A6" s="3">
        <v>2024</v>
      </c>
      <c r="B6" s="4">
        <v>153670</v>
      </c>
      <c r="C6" s="4">
        <v>36425</v>
      </c>
      <c r="D6" s="4">
        <v>26248</v>
      </c>
    </row>
    <row r="7" spans="1:4" x14ac:dyDescent="0.35">
      <c r="A7" s="3">
        <v>2025</v>
      </c>
      <c r="B7" s="4">
        <v>162990</v>
      </c>
      <c r="C7" s="4">
        <v>39236</v>
      </c>
      <c r="D7" s="4">
        <v>26750</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173A-C202-4E38-ABD1-1EF2A7FE2DBE}">
  <dimension ref="A1:B11"/>
  <sheetViews>
    <sheetView workbookViewId="0">
      <selection activeCell="D7" sqref="D7"/>
    </sheetView>
  </sheetViews>
  <sheetFormatPr defaultRowHeight="14.5" x14ac:dyDescent="0.35"/>
  <cols>
    <col min="1" max="1" width="28.36328125" customWidth="1"/>
    <col min="2" max="2" width="91.26953125" customWidth="1"/>
  </cols>
  <sheetData>
    <row r="1" spans="1:2" x14ac:dyDescent="0.35">
      <c r="A1" s="6" t="s">
        <v>4</v>
      </c>
      <c r="B1" s="6" t="s">
        <v>5</v>
      </c>
    </row>
    <row r="2" spans="1:2" ht="29" x14ac:dyDescent="0.35">
      <c r="A2" s="7" t="s">
        <v>11</v>
      </c>
      <c r="B2" s="7" t="s">
        <v>16</v>
      </c>
    </row>
    <row r="3" spans="1:2" ht="29" x14ac:dyDescent="0.35">
      <c r="A3" s="7" t="s">
        <v>12</v>
      </c>
      <c r="B3" s="7" t="s">
        <v>17</v>
      </c>
    </row>
    <row r="4" spans="1:2" x14ac:dyDescent="0.35">
      <c r="A4" s="7" t="s">
        <v>6</v>
      </c>
      <c r="B4" s="7" t="s">
        <v>18</v>
      </c>
    </row>
    <row r="5" spans="1:2" ht="29" x14ac:dyDescent="0.35">
      <c r="A5" s="7" t="s">
        <v>7</v>
      </c>
      <c r="B5" s="7" t="s">
        <v>19</v>
      </c>
    </row>
    <row r="6" spans="1:2" x14ac:dyDescent="0.35">
      <c r="A6" s="7" t="s">
        <v>8</v>
      </c>
      <c r="B6" s="7" t="s">
        <v>20</v>
      </c>
    </row>
    <row r="7" spans="1:2" x14ac:dyDescent="0.35">
      <c r="A7" s="7" t="s">
        <v>9</v>
      </c>
      <c r="B7" s="7" t="s">
        <v>21</v>
      </c>
    </row>
    <row r="8" spans="1:2" ht="29" x14ac:dyDescent="0.35">
      <c r="A8" s="7" t="s">
        <v>13</v>
      </c>
      <c r="B8" s="7" t="s">
        <v>22</v>
      </c>
    </row>
    <row r="9" spans="1:2" ht="29" x14ac:dyDescent="0.35">
      <c r="A9" s="7" t="s">
        <v>14</v>
      </c>
      <c r="B9" s="7" t="s">
        <v>23</v>
      </c>
    </row>
    <row r="10" spans="1:2" ht="29" x14ac:dyDescent="0.35">
      <c r="A10" s="7" t="s">
        <v>10</v>
      </c>
      <c r="B10" s="7" t="s">
        <v>24</v>
      </c>
    </row>
    <row r="11" spans="1:2" ht="29" x14ac:dyDescent="0.35">
      <c r="A11" s="7" t="s">
        <v>15</v>
      </c>
      <c r="B11" s="7"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1351A-F7BF-49E2-8062-5D7F2E0723A1}">
  <dimension ref="A1:G9"/>
  <sheetViews>
    <sheetView workbookViewId="0">
      <selection activeCell="F14" sqref="F14"/>
    </sheetView>
  </sheetViews>
  <sheetFormatPr defaultRowHeight="14.5" x14ac:dyDescent="0.35"/>
  <cols>
    <col min="1" max="1" width="18" customWidth="1"/>
    <col min="2" max="2" width="21.54296875" customWidth="1"/>
    <col min="3" max="3" width="22.7265625" customWidth="1"/>
    <col min="4" max="4" width="15.6328125" customWidth="1"/>
    <col min="5" max="5" width="24.1796875" customWidth="1"/>
    <col min="6" max="6" width="14.453125" customWidth="1"/>
    <col min="7" max="7" width="18.36328125" customWidth="1"/>
  </cols>
  <sheetData>
    <row r="1" spans="1:7" ht="15.5" x14ac:dyDescent="0.35">
      <c r="A1" s="33" t="s">
        <v>72</v>
      </c>
      <c r="B1" s="33"/>
      <c r="C1" s="33"/>
      <c r="D1" s="33"/>
      <c r="E1" s="33"/>
      <c r="F1" s="33"/>
      <c r="G1" s="33"/>
    </row>
    <row r="2" spans="1:7" x14ac:dyDescent="0.35">
      <c r="A2" s="6" t="s">
        <v>26</v>
      </c>
      <c r="B2" s="6" t="s">
        <v>27</v>
      </c>
      <c r="C2" s="6" t="s">
        <v>28</v>
      </c>
      <c r="D2" s="6" t="s">
        <v>30</v>
      </c>
      <c r="E2" s="6" t="s">
        <v>32</v>
      </c>
      <c r="F2" s="6" t="s">
        <v>31</v>
      </c>
      <c r="G2" s="6" t="s">
        <v>33</v>
      </c>
    </row>
    <row r="3" spans="1:7" x14ac:dyDescent="0.35">
      <c r="A3" s="5">
        <v>2021</v>
      </c>
      <c r="B3" s="4">
        <v>100472</v>
      </c>
      <c r="C3" s="5" t="s">
        <v>29</v>
      </c>
      <c r="D3" s="4">
        <v>27889</v>
      </c>
      <c r="E3" s="11">
        <f>D3/B3</f>
        <v>0.27757982323433394</v>
      </c>
      <c r="F3" s="4">
        <v>19423</v>
      </c>
      <c r="G3" s="11">
        <f>F3/B3</f>
        <v>0.19331754120550998</v>
      </c>
    </row>
    <row r="4" spans="1:7" x14ac:dyDescent="0.35">
      <c r="A4" s="5">
        <v>2022</v>
      </c>
      <c r="B4" s="4">
        <v>121641</v>
      </c>
      <c r="C4" s="9">
        <f>(B4/B3)-1</f>
        <v>0.21069551715900947</v>
      </c>
      <c r="D4" s="4">
        <v>31491</v>
      </c>
      <c r="E4" s="11">
        <f t="shared" ref="E4:E7" si="0">D4/B4</f>
        <v>0.25888475102966929</v>
      </c>
      <c r="F4" s="4">
        <v>22146</v>
      </c>
      <c r="G4" s="11">
        <f t="shared" ref="G4:G7" si="1">F4/B4</f>
        <v>0.1820603250548746</v>
      </c>
    </row>
    <row r="5" spans="1:7" x14ac:dyDescent="0.35">
      <c r="A5" s="5">
        <v>2023</v>
      </c>
      <c r="B5" s="4">
        <v>146767</v>
      </c>
      <c r="C5" s="9">
        <f t="shared" ref="C5:C7" si="2">(B5/B4)-1</f>
        <v>0.20655864387829759</v>
      </c>
      <c r="D5" s="4">
        <v>35130</v>
      </c>
      <c r="E5" s="11">
        <f t="shared" si="0"/>
        <v>0.23935898396778568</v>
      </c>
      <c r="F5" s="4">
        <v>24108</v>
      </c>
      <c r="G5" s="11">
        <f t="shared" si="1"/>
        <v>0.16426035825492105</v>
      </c>
    </row>
    <row r="6" spans="1:7" x14ac:dyDescent="0.35">
      <c r="A6" s="5">
        <v>2024</v>
      </c>
      <c r="B6" s="4">
        <v>153670</v>
      </c>
      <c r="C6" s="9">
        <f t="shared" si="2"/>
        <v>4.7033733741236095E-2</v>
      </c>
      <c r="D6" s="4">
        <v>36425</v>
      </c>
      <c r="E6" s="11">
        <f t="shared" si="0"/>
        <v>0.23703390381987374</v>
      </c>
      <c r="F6" s="4">
        <v>26248</v>
      </c>
      <c r="G6" s="11">
        <f t="shared" si="1"/>
        <v>0.17080757467300059</v>
      </c>
    </row>
    <row r="7" spans="1:7" x14ac:dyDescent="0.35">
      <c r="A7" s="5">
        <v>2025</v>
      </c>
      <c r="B7" s="4">
        <v>162990</v>
      </c>
      <c r="C7" s="9">
        <f t="shared" si="2"/>
        <v>6.0649443612936782E-2</v>
      </c>
      <c r="D7" s="4">
        <v>39236</v>
      </c>
      <c r="E7" s="11">
        <f t="shared" si="0"/>
        <v>0.24072642493404503</v>
      </c>
      <c r="F7" s="4">
        <v>26750</v>
      </c>
      <c r="G7" s="11">
        <f t="shared" si="1"/>
        <v>0.16412049819007302</v>
      </c>
    </row>
    <row r="9" spans="1:7" x14ac:dyDescent="0.35">
      <c r="A9" s="1" t="s">
        <v>34</v>
      </c>
      <c r="B9" s="4">
        <f>AVERAGE(B3:B7)</f>
        <v>137108</v>
      </c>
      <c r="C9" s="9">
        <f>AVERAGE(C3:C7)</f>
        <v>0.13123433459786998</v>
      </c>
      <c r="D9" s="12">
        <f t="shared" ref="D9:G9" si="3">AVERAGE(D3:D7)</f>
        <v>34034.199999999997</v>
      </c>
      <c r="E9" s="9">
        <f t="shared" si="3"/>
        <v>0.25071677739714154</v>
      </c>
      <c r="F9" s="12">
        <f t="shared" si="3"/>
        <v>23735</v>
      </c>
      <c r="G9" s="9">
        <f t="shared" si="3"/>
        <v>0.17491325947567585</v>
      </c>
    </row>
  </sheetData>
  <mergeCells count="1">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8AE2-7C47-43CC-B3FC-7EC8E9FFAE88}">
  <dimension ref="A1:F23"/>
  <sheetViews>
    <sheetView workbookViewId="0">
      <selection activeCell="D18" sqref="D18"/>
    </sheetView>
  </sheetViews>
  <sheetFormatPr defaultColWidth="38.453125" defaultRowHeight="14.5" x14ac:dyDescent="0.35"/>
  <cols>
    <col min="1" max="1" width="28.6328125" style="3" customWidth="1"/>
    <col min="2" max="2" width="19.6328125" style="3" customWidth="1"/>
    <col min="3" max="3" width="37.90625" style="3" bestFit="1" customWidth="1"/>
    <col min="4" max="4" width="11.26953125" style="3" customWidth="1"/>
    <col min="5" max="5" width="38.453125" style="3"/>
    <col min="6" max="6" width="94.81640625" style="3" bestFit="1" customWidth="1"/>
    <col min="7" max="16384" width="38.453125" style="3"/>
  </cols>
  <sheetData>
    <row r="1" spans="1:6" ht="15.5" x14ac:dyDescent="0.35">
      <c r="A1" s="33" t="s">
        <v>50</v>
      </c>
      <c r="B1" s="33"/>
      <c r="C1" s="33"/>
      <c r="E1" s="33" t="s">
        <v>55</v>
      </c>
      <c r="F1" s="33"/>
    </row>
    <row r="2" spans="1:6" x14ac:dyDescent="0.35">
      <c r="A2" s="6" t="s">
        <v>35</v>
      </c>
      <c r="B2" s="6" t="s">
        <v>36</v>
      </c>
      <c r="C2" s="6" t="s">
        <v>37</v>
      </c>
      <c r="E2" s="18" t="s">
        <v>38</v>
      </c>
      <c r="F2" t="s">
        <v>56</v>
      </c>
    </row>
    <row r="3" spans="1:6" x14ac:dyDescent="0.35">
      <c r="A3" s="8" t="s">
        <v>38</v>
      </c>
      <c r="B3" s="8" t="s">
        <v>39</v>
      </c>
      <c r="C3" s="8" t="s">
        <v>40</v>
      </c>
      <c r="E3" s="18" t="s">
        <v>54</v>
      </c>
      <c r="F3" t="s">
        <v>57</v>
      </c>
    </row>
    <row r="4" spans="1:6" x14ac:dyDescent="0.35">
      <c r="A4" s="8" t="s">
        <v>41</v>
      </c>
      <c r="B4" s="8" t="s">
        <v>39</v>
      </c>
      <c r="C4" s="8" t="s">
        <v>42</v>
      </c>
      <c r="E4" s="18" t="s">
        <v>43</v>
      </c>
      <c r="F4" t="s">
        <v>58</v>
      </c>
    </row>
    <row r="5" spans="1:6" x14ac:dyDescent="0.35">
      <c r="A5" s="8" t="s">
        <v>43</v>
      </c>
      <c r="B5" s="8" t="s">
        <v>39</v>
      </c>
      <c r="C5" s="8" t="s">
        <v>44</v>
      </c>
      <c r="E5" s="18" t="s">
        <v>45</v>
      </c>
      <c r="F5" t="s">
        <v>59</v>
      </c>
    </row>
    <row r="6" spans="1:6" x14ac:dyDescent="0.35">
      <c r="A6" s="8" t="s">
        <v>45</v>
      </c>
      <c r="B6" s="8" t="s">
        <v>39</v>
      </c>
      <c r="C6" s="8" t="s">
        <v>46</v>
      </c>
      <c r="E6"/>
      <c r="F6"/>
    </row>
    <row r="7" spans="1:6" x14ac:dyDescent="0.35">
      <c r="A7" s="8" t="s">
        <v>47</v>
      </c>
      <c r="B7" s="8" t="s">
        <v>48</v>
      </c>
      <c r="C7" s="8" t="s">
        <v>49</v>
      </c>
    </row>
    <row r="10" spans="1:6" ht="18.5" x14ac:dyDescent="0.45">
      <c r="A10" s="33" t="s">
        <v>51</v>
      </c>
      <c r="B10" s="33"/>
      <c r="C10" s="10"/>
      <c r="E10" s="17" t="s">
        <v>66</v>
      </c>
      <c r="F10" s="14"/>
    </row>
    <row r="11" spans="1:6" x14ac:dyDescent="0.35">
      <c r="A11" s="6" t="s">
        <v>52</v>
      </c>
      <c r="B11" s="6" t="s">
        <v>53</v>
      </c>
      <c r="E11" s="15" t="s">
        <v>27</v>
      </c>
    </row>
    <row r="12" spans="1:6" x14ac:dyDescent="0.35">
      <c r="A12" s="7" t="s">
        <v>38</v>
      </c>
      <c r="B12" s="5">
        <v>10</v>
      </c>
      <c r="E12" s="15" t="s">
        <v>67</v>
      </c>
    </row>
    <row r="13" spans="1:6" x14ac:dyDescent="0.35">
      <c r="A13" s="7" t="s">
        <v>54</v>
      </c>
      <c r="B13" s="5">
        <v>9</v>
      </c>
      <c r="E13" s="15" t="s">
        <v>68</v>
      </c>
    </row>
    <row r="14" spans="1:6" x14ac:dyDescent="0.35">
      <c r="A14" s="7" t="s">
        <v>43</v>
      </c>
      <c r="B14" s="5">
        <v>9</v>
      </c>
      <c r="E14" s="15" t="s">
        <v>69</v>
      </c>
    </row>
    <row r="15" spans="1:6" x14ac:dyDescent="0.35">
      <c r="A15" s="7" t="s">
        <v>45</v>
      </c>
      <c r="B15" s="5">
        <v>8</v>
      </c>
      <c r="E15" s="15" t="s">
        <v>54</v>
      </c>
    </row>
    <row r="16" spans="1:6" x14ac:dyDescent="0.35">
      <c r="A16" s="7" t="s">
        <v>47</v>
      </c>
      <c r="B16" s="5">
        <v>7</v>
      </c>
      <c r="E16" s="15" t="s">
        <v>69</v>
      </c>
    </row>
    <row r="17" spans="1:5" x14ac:dyDescent="0.35">
      <c r="E17" s="16" t="s">
        <v>70</v>
      </c>
    </row>
    <row r="18" spans="1:5" ht="15.5" x14ac:dyDescent="0.35">
      <c r="A18" s="33" t="s">
        <v>60</v>
      </c>
      <c r="B18" s="33"/>
    </row>
    <row r="19" spans="1:5" x14ac:dyDescent="0.35">
      <c r="A19" s="6" t="s">
        <v>61</v>
      </c>
      <c r="B19" s="6" t="s">
        <v>62</v>
      </c>
    </row>
    <row r="20" spans="1:5" x14ac:dyDescent="0.35">
      <c r="A20" s="7" t="s">
        <v>63</v>
      </c>
      <c r="B20" s="13">
        <v>0.08</v>
      </c>
    </row>
    <row r="21" spans="1:5" x14ac:dyDescent="0.35">
      <c r="A21" s="7" t="s">
        <v>41</v>
      </c>
      <c r="B21" s="13">
        <v>0.82</v>
      </c>
    </row>
    <row r="22" spans="1:5" x14ac:dyDescent="0.35">
      <c r="A22" s="7" t="s">
        <v>64</v>
      </c>
      <c r="B22" s="13">
        <v>0.04</v>
      </c>
    </row>
    <row r="23" spans="1:5" x14ac:dyDescent="0.35">
      <c r="A23" s="7" t="s">
        <v>65</v>
      </c>
      <c r="B23" s="13">
        <v>0.06</v>
      </c>
    </row>
  </sheetData>
  <mergeCells count="4">
    <mergeCell ref="A1:C1"/>
    <mergeCell ref="A10:B10"/>
    <mergeCell ref="A18:B18"/>
    <mergeCell ref="E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F59F-19BE-4B49-8BB9-4D1DFF697437}">
  <dimension ref="A1:I21"/>
  <sheetViews>
    <sheetView zoomScaleNormal="100" workbookViewId="0">
      <selection activeCell="D13" sqref="D13"/>
    </sheetView>
  </sheetViews>
  <sheetFormatPr defaultRowHeight="14.5" x14ac:dyDescent="0.35"/>
  <cols>
    <col min="2" max="2" width="13.6328125" customWidth="1"/>
    <col min="3" max="3" width="24.26953125" customWidth="1"/>
    <col min="4" max="4" width="25" customWidth="1"/>
    <col min="6" max="6" width="12.90625" customWidth="1"/>
    <col min="7" max="7" width="18.54296875" customWidth="1"/>
    <col min="8" max="8" width="16.08984375" customWidth="1"/>
    <col min="9" max="9" width="28.453125" customWidth="1"/>
  </cols>
  <sheetData>
    <row r="1" spans="1:9" ht="15.5" x14ac:dyDescent="0.35">
      <c r="A1" s="33" t="s">
        <v>276</v>
      </c>
      <c r="B1" s="33"/>
      <c r="C1" s="33"/>
      <c r="D1" s="33"/>
      <c r="F1" s="33" t="s">
        <v>279</v>
      </c>
      <c r="G1" s="33"/>
      <c r="H1" s="33"/>
      <c r="I1" s="33"/>
    </row>
    <row r="2" spans="1:9" x14ac:dyDescent="0.35">
      <c r="A2" s="6" t="s">
        <v>26</v>
      </c>
      <c r="B2" s="6" t="s">
        <v>268</v>
      </c>
      <c r="C2" s="6" t="s">
        <v>269</v>
      </c>
      <c r="D2" s="6" t="s">
        <v>270</v>
      </c>
      <c r="F2" s="6" t="s">
        <v>26</v>
      </c>
      <c r="G2" s="6" t="s">
        <v>280</v>
      </c>
      <c r="H2" s="6" t="s">
        <v>268</v>
      </c>
      <c r="I2" s="6" t="s">
        <v>281</v>
      </c>
    </row>
    <row r="3" spans="1:9" x14ac:dyDescent="0.35">
      <c r="A3" s="7" t="s">
        <v>271</v>
      </c>
      <c r="B3" s="45">
        <v>259619</v>
      </c>
      <c r="C3" s="5" t="s">
        <v>277</v>
      </c>
      <c r="D3" s="5" t="s">
        <v>277</v>
      </c>
      <c r="F3" s="5" t="s">
        <v>271</v>
      </c>
      <c r="G3" s="24">
        <f>Assumptions!B3</f>
        <v>100472</v>
      </c>
      <c r="H3" s="52">
        <f>B3</f>
        <v>259619</v>
      </c>
      <c r="I3" s="24">
        <f>G3/H3</f>
        <v>0.38699786995558877</v>
      </c>
    </row>
    <row r="4" spans="1:9" x14ac:dyDescent="0.35">
      <c r="A4" s="7" t="s">
        <v>272</v>
      </c>
      <c r="B4" s="45">
        <v>314015</v>
      </c>
      <c r="C4" s="50">
        <f>(B4/B3)-1</f>
        <v>0.20952241553969464</v>
      </c>
      <c r="D4" s="5" t="s">
        <v>277</v>
      </c>
      <c r="F4" s="5" t="s">
        <v>272</v>
      </c>
      <c r="G4" s="24">
        <f>Assumptions!B4</f>
        <v>121641</v>
      </c>
      <c r="H4" s="52">
        <f t="shared" ref="H4:H7" si="0">B4</f>
        <v>314015</v>
      </c>
      <c r="I4" s="24">
        <f t="shared" ref="I4:I7" si="1">G4/H4</f>
        <v>0.38737321465535085</v>
      </c>
    </row>
    <row r="5" spans="1:9" x14ac:dyDescent="0.35">
      <c r="A5" s="7" t="s">
        <v>273</v>
      </c>
      <c r="B5" s="45">
        <v>343234</v>
      </c>
      <c r="C5" s="50">
        <f t="shared" ref="C5:C8" si="2">(B5/B4)-1</f>
        <v>9.3049695078260664E-2</v>
      </c>
      <c r="D5" s="46">
        <v>0.20899999999999999</v>
      </c>
      <c r="F5" s="5" t="s">
        <v>273</v>
      </c>
      <c r="G5" s="24">
        <f>Assumptions!B5</f>
        <v>146767</v>
      </c>
      <c r="H5" s="52">
        <f t="shared" si="0"/>
        <v>343234</v>
      </c>
      <c r="I5" s="24">
        <f t="shared" si="1"/>
        <v>0.42760041254654257</v>
      </c>
    </row>
    <row r="6" spans="1:9" x14ac:dyDescent="0.35">
      <c r="A6" s="7" t="s">
        <v>274</v>
      </c>
      <c r="B6" s="45">
        <v>317240</v>
      </c>
      <c r="C6" s="50">
        <f t="shared" si="2"/>
        <v>-7.5732590594171922E-2</v>
      </c>
      <c r="D6" s="46">
        <v>0.126</v>
      </c>
      <c r="F6" s="5" t="s">
        <v>274</v>
      </c>
      <c r="G6" s="24">
        <f>Assumptions!B6</f>
        <v>153670</v>
      </c>
      <c r="H6" s="52">
        <f t="shared" si="0"/>
        <v>317240</v>
      </c>
      <c r="I6" s="24">
        <f t="shared" si="1"/>
        <v>0.48439667128987518</v>
      </c>
    </row>
    <row r="7" spans="1:9" x14ac:dyDescent="0.35">
      <c r="A7" s="7" t="s">
        <v>275</v>
      </c>
      <c r="B7" s="45">
        <v>323578</v>
      </c>
      <c r="C7" s="50">
        <f t="shared" si="2"/>
        <v>1.9978565124196157E-2</v>
      </c>
      <c r="D7" s="46">
        <v>0.14099999999999999</v>
      </c>
      <c r="F7" s="5" t="s">
        <v>275</v>
      </c>
      <c r="G7" s="24">
        <f>Assumptions!B7</f>
        <v>162990</v>
      </c>
      <c r="H7" s="52">
        <f t="shared" si="0"/>
        <v>323578</v>
      </c>
      <c r="I7" s="24">
        <f t="shared" si="1"/>
        <v>0.50371162439968109</v>
      </c>
    </row>
    <row r="8" spans="1:9" x14ac:dyDescent="0.35">
      <c r="A8" s="57"/>
      <c r="B8" s="58"/>
      <c r="C8" s="59"/>
      <c r="D8" s="60"/>
    </row>
    <row r="12" spans="1:9" ht="15.5" x14ac:dyDescent="0.35">
      <c r="A12" s="33" t="s">
        <v>84</v>
      </c>
      <c r="B12" s="33"/>
      <c r="C12" s="33"/>
    </row>
    <row r="13" spans="1:9" ht="77" customHeight="1" x14ac:dyDescent="0.35">
      <c r="A13" s="49" t="s">
        <v>278</v>
      </c>
      <c r="B13" s="49"/>
      <c r="C13" s="49"/>
    </row>
    <row r="16" spans="1:9" ht="15.5" x14ac:dyDescent="0.35">
      <c r="C16" s="33" t="s">
        <v>290</v>
      </c>
      <c r="D16" s="33"/>
    </row>
    <row r="17" spans="3:4" x14ac:dyDescent="0.35">
      <c r="C17" s="6" t="s">
        <v>260</v>
      </c>
      <c r="D17" s="6" t="s">
        <v>282</v>
      </c>
    </row>
    <row r="18" spans="3:4" x14ac:dyDescent="0.35">
      <c r="C18" s="7" t="s">
        <v>283</v>
      </c>
      <c r="D18" s="7" t="s">
        <v>284</v>
      </c>
    </row>
    <row r="19" spans="3:4" ht="29" x14ac:dyDescent="0.35">
      <c r="C19" s="7" t="s">
        <v>85</v>
      </c>
      <c r="D19" s="7" t="s">
        <v>285</v>
      </c>
    </row>
    <row r="20" spans="3:4" ht="29" x14ac:dyDescent="0.35">
      <c r="C20" s="7" t="s">
        <v>286</v>
      </c>
      <c r="D20" s="7" t="s">
        <v>287</v>
      </c>
    </row>
    <row r="21" spans="3:4" ht="29" x14ac:dyDescent="0.35">
      <c r="C21" s="7" t="s">
        <v>288</v>
      </c>
      <c r="D21" s="7" t="s">
        <v>289</v>
      </c>
    </row>
  </sheetData>
  <mergeCells count="5">
    <mergeCell ref="A1:D1"/>
    <mergeCell ref="A13:C13"/>
    <mergeCell ref="A12:C12"/>
    <mergeCell ref="F1:I1"/>
    <mergeCell ref="C16:D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BF2A9-DBCB-4FD4-B974-0AE963760694}">
  <dimension ref="A1:F23"/>
  <sheetViews>
    <sheetView zoomScaleNormal="100" workbookViewId="0">
      <selection activeCell="D17" sqref="D17"/>
    </sheetView>
  </sheetViews>
  <sheetFormatPr defaultRowHeight="14.5" x14ac:dyDescent="0.35"/>
  <cols>
    <col min="1" max="1" width="19.1796875" customWidth="1"/>
    <col min="2" max="2" width="19.6328125" customWidth="1"/>
    <col min="3" max="3" width="29.90625" customWidth="1"/>
    <col min="4" max="4" width="18.26953125" customWidth="1"/>
    <col min="5" max="5" width="18" customWidth="1"/>
    <col min="6" max="6" width="97" bestFit="1" customWidth="1"/>
  </cols>
  <sheetData>
    <row r="1" spans="1:6" ht="15.5" x14ac:dyDescent="0.35">
      <c r="A1" s="33" t="s">
        <v>97</v>
      </c>
      <c r="B1" s="33"/>
      <c r="C1" s="33"/>
      <c r="D1" s="33"/>
      <c r="E1" s="33"/>
    </row>
    <row r="2" spans="1:6" x14ac:dyDescent="0.35">
      <c r="A2" s="6" t="s">
        <v>26</v>
      </c>
      <c r="B2" s="6" t="s">
        <v>98</v>
      </c>
      <c r="C2" s="6" t="s">
        <v>99</v>
      </c>
      <c r="D2" s="6" t="s">
        <v>85</v>
      </c>
      <c r="E2" s="6" t="s">
        <v>100</v>
      </c>
    </row>
    <row r="3" spans="1:6" x14ac:dyDescent="0.35">
      <c r="A3" s="5">
        <v>2026</v>
      </c>
      <c r="B3" s="53">
        <f>Workforce_Historical_Data!B7</f>
        <v>323578</v>
      </c>
      <c r="C3" s="55">
        <f>B3*B20</f>
        <v>52089.122145757137</v>
      </c>
      <c r="D3" s="54">
        <f>B3*Workforce_Historical_Data!D7</f>
        <v>45624.497999999992</v>
      </c>
      <c r="E3" s="53">
        <f>B3+C3-D3</f>
        <v>330042.62414575717</v>
      </c>
    </row>
    <row r="4" spans="1:6" x14ac:dyDescent="0.35">
      <c r="A4" s="5">
        <v>2027</v>
      </c>
      <c r="B4" s="53">
        <f>E3</f>
        <v>330042.62414575717</v>
      </c>
      <c r="C4" s="54">
        <f>B4*B20</f>
        <v>53129.788064808359</v>
      </c>
      <c r="D4" s="54">
        <f>B4*B21</f>
        <v>46536.010004551754</v>
      </c>
      <c r="E4" s="53">
        <f t="shared" ref="E4:E5" si="0">B4+C4-D4</f>
        <v>336636.40220601379</v>
      </c>
    </row>
    <row r="5" spans="1:6" x14ac:dyDescent="0.35">
      <c r="A5" s="5">
        <v>2028</v>
      </c>
      <c r="B5" s="53">
        <f>E4</f>
        <v>336636.40220601379</v>
      </c>
      <c r="C5" s="54">
        <f>B5*B20</f>
        <v>54191.244995695881</v>
      </c>
      <c r="D5" s="54">
        <f>B5*B21</f>
        <v>47465.732711047938</v>
      </c>
      <c r="E5" s="53">
        <f t="shared" si="0"/>
        <v>343361.91449066176</v>
      </c>
    </row>
    <row r="8" spans="1:6" ht="15.5" x14ac:dyDescent="0.35">
      <c r="A8" s="33" t="s">
        <v>73</v>
      </c>
      <c r="B8" s="33"/>
      <c r="C8" s="33"/>
      <c r="E8" s="33" t="s">
        <v>84</v>
      </c>
      <c r="F8" s="33"/>
    </row>
    <row r="9" spans="1:6" x14ac:dyDescent="0.35">
      <c r="A9" s="6" t="s">
        <v>74</v>
      </c>
      <c r="B9" s="6" t="s">
        <v>75</v>
      </c>
      <c r="C9" s="6" t="s">
        <v>37</v>
      </c>
      <c r="E9" s="18" t="s">
        <v>38</v>
      </c>
      <c r="F9" t="s">
        <v>86</v>
      </c>
    </row>
    <row r="10" spans="1:6" x14ac:dyDescent="0.35">
      <c r="A10" s="7" t="s">
        <v>38</v>
      </c>
      <c r="B10" s="5" t="s">
        <v>39</v>
      </c>
      <c r="C10" s="7" t="s">
        <v>76</v>
      </c>
      <c r="E10" s="18" t="s">
        <v>85</v>
      </c>
      <c r="F10" t="s">
        <v>87</v>
      </c>
    </row>
    <row r="11" spans="1:6" x14ac:dyDescent="0.35">
      <c r="A11" s="7" t="s">
        <v>77</v>
      </c>
      <c r="B11" s="5" t="s">
        <v>39</v>
      </c>
      <c r="C11" s="7" t="s">
        <v>78</v>
      </c>
      <c r="E11" s="18" t="s">
        <v>54</v>
      </c>
      <c r="F11" t="s">
        <v>88</v>
      </c>
    </row>
    <row r="12" spans="1:6" x14ac:dyDescent="0.35">
      <c r="A12" s="7" t="s">
        <v>79</v>
      </c>
      <c r="B12" s="5" t="s">
        <v>39</v>
      </c>
      <c r="C12" s="7" t="s">
        <v>80</v>
      </c>
      <c r="E12" s="18" t="s">
        <v>81</v>
      </c>
      <c r="F12" t="s">
        <v>89</v>
      </c>
    </row>
    <row r="13" spans="1:6" x14ac:dyDescent="0.35">
      <c r="A13" s="7" t="s">
        <v>81</v>
      </c>
      <c r="B13" s="5" t="s">
        <v>39</v>
      </c>
      <c r="C13" s="7" t="s">
        <v>82</v>
      </c>
    </row>
    <row r="14" spans="1:6" x14ac:dyDescent="0.35">
      <c r="A14" s="7" t="s">
        <v>41</v>
      </c>
      <c r="B14" s="5" t="s">
        <v>39</v>
      </c>
      <c r="C14" s="7" t="s">
        <v>83</v>
      </c>
    </row>
    <row r="16" spans="1:6" ht="15.5" x14ac:dyDescent="0.35">
      <c r="E16" s="33" t="s">
        <v>109</v>
      </c>
      <c r="F16" s="33"/>
    </row>
    <row r="17" spans="1:6" ht="15.5" x14ac:dyDescent="0.35">
      <c r="A17" s="33" t="s">
        <v>90</v>
      </c>
      <c r="B17" s="33"/>
      <c r="E17" s="6" t="s">
        <v>101</v>
      </c>
      <c r="F17" s="6" t="s">
        <v>102</v>
      </c>
    </row>
    <row r="18" spans="1:6" x14ac:dyDescent="0.35">
      <c r="A18" s="6" t="s">
        <v>61</v>
      </c>
      <c r="B18" s="6" t="s">
        <v>91</v>
      </c>
      <c r="E18" s="7" t="s">
        <v>103</v>
      </c>
      <c r="F18" s="5" t="s">
        <v>104</v>
      </c>
    </row>
    <row r="19" spans="1:6" x14ac:dyDescent="0.35">
      <c r="A19" s="7" t="s">
        <v>92</v>
      </c>
      <c r="B19" s="52">
        <f>Workforce_Historical_Data!B7</f>
        <v>323578</v>
      </c>
      <c r="E19" s="7" t="s">
        <v>105</v>
      </c>
      <c r="F19" s="5" t="s">
        <v>106</v>
      </c>
    </row>
    <row r="20" spans="1:6" x14ac:dyDescent="0.35">
      <c r="A20" s="7" t="s">
        <v>93</v>
      </c>
      <c r="B20" s="51">
        <f>Workforce_Historical_Data!C7+Workforce_Historical_Data!D7</f>
        <v>0.16097856512419614</v>
      </c>
      <c r="E20" s="7" t="s">
        <v>107</v>
      </c>
      <c r="F20" s="5" t="s">
        <v>108</v>
      </c>
    </row>
    <row r="21" spans="1:6" x14ac:dyDescent="0.35">
      <c r="A21" s="7" t="s">
        <v>94</v>
      </c>
      <c r="B21" s="51">
        <f>Workforce_Historical_Data!D7</f>
        <v>0.14099999999999999</v>
      </c>
      <c r="C21" s="56" t="s">
        <v>291</v>
      </c>
      <c r="E21" s="7"/>
    </row>
    <row r="22" spans="1:6" x14ac:dyDescent="0.35">
      <c r="A22" s="7" t="s">
        <v>95</v>
      </c>
      <c r="B22" s="13">
        <v>7.0000000000000007E-2</v>
      </c>
    </row>
    <row r="23" spans="1:6" x14ac:dyDescent="0.35">
      <c r="A23" s="7" t="s">
        <v>96</v>
      </c>
      <c r="B23" s="13">
        <v>0.82</v>
      </c>
    </row>
  </sheetData>
  <mergeCells count="5">
    <mergeCell ref="A8:C8"/>
    <mergeCell ref="E8:F8"/>
    <mergeCell ref="A17:B17"/>
    <mergeCell ref="A1:E1"/>
    <mergeCell ref="E16:F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D3365-305D-40CE-A9D0-6CC00CFA2AB8}">
  <dimension ref="A1:E8"/>
  <sheetViews>
    <sheetView workbookViewId="0">
      <selection activeCell="G6" sqref="G6"/>
    </sheetView>
  </sheetViews>
  <sheetFormatPr defaultRowHeight="14.5" x14ac:dyDescent="0.35"/>
  <cols>
    <col min="2" max="2" width="11.7265625" bestFit="1" customWidth="1"/>
    <col min="3" max="3" width="18.7265625" customWidth="1"/>
    <col min="4" max="4" width="20.81640625" customWidth="1"/>
    <col min="5" max="5" width="21.6328125" customWidth="1"/>
  </cols>
  <sheetData>
    <row r="1" spans="1:5" ht="15.5" x14ac:dyDescent="0.35">
      <c r="A1" s="33" t="s">
        <v>294</v>
      </c>
      <c r="B1" s="33"/>
      <c r="C1" s="33"/>
      <c r="D1" s="33"/>
      <c r="E1" s="33"/>
    </row>
    <row r="2" spans="1:5" x14ac:dyDescent="0.35">
      <c r="A2" s="6" t="s">
        <v>26</v>
      </c>
      <c r="B2" s="6" t="s">
        <v>27</v>
      </c>
      <c r="C2" s="6" t="s">
        <v>30</v>
      </c>
      <c r="D2" s="6" t="s">
        <v>292</v>
      </c>
      <c r="E2" s="6" t="s">
        <v>293</v>
      </c>
    </row>
    <row r="3" spans="1:5" x14ac:dyDescent="0.35">
      <c r="A3" s="5" t="s">
        <v>271</v>
      </c>
      <c r="B3" s="61">
        <f>Assumptions!B3</f>
        <v>100472</v>
      </c>
      <c r="C3" s="62">
        <f>Assumptions!D3</f>
        <v>27889</v>
      </c>
      <c r="D3" s="62">
        <f>B3-C3</f>
        <v>72583</v>
      </c>
      <c r="E3" s="46">
        <f>D3/B3</f>
        <v>0.72242017676566606</v>
      </c>
    </row>
    <row r="4" spans="1:5" x14ac:dyDescent="0.35">
      <c r="A4" s="5" t="s">
        <v>272</v>
      </c>
      <c r="B4" s="61">
        <f>Assumptions!B4</f>
        <v>121641</v>
      </c>
      <c r="C4" s="62">
        <f>Assumptions!D4</f>
        <v>31491</v>
      </c>
      <c r="D4" s="62">
        <f t="shared" ref="D4:D8" si="0">B4-C4</f>
        <v>90150</v>
      </c>
      <c r="E4" s="46">
        <f t="shared" ref="E4:E8" si="1">D4/B4</f>
        <v>0.74111524897033076</v>
      </c>
    </row>
    <row r="5" spans="1:5" x14ac:dyDescent="0.35">
      <c r="A5" s="5" t="s">
        <v>273</v>
      </c>
      <c r="B5" s="61">
        <f>Assumptions!B5</f>
        <v>146767</v>
      </c>
      <c r="C5" s="62">
        <f>Assumptions!D5</f>
        <v>35130</v>
      </c>
      <c r="D5" s="62">
        <f t="shared" si="0"/>
        <v>111637</v>
      </c>
      <c r="E5" s="46">
        <f t="shared" si="1"/>
        <v>0.76064101603221435</v>
      </c>
    </row>
    <row r="6" spans="1:5" x14ac:dyDescent="0.35">
      <c r="A6" s="5" t="s">
        <v>274</v>
      </c>
      <c r="B6" s="61">
        <f>Assumptions!B6</f>
        <v>153670</v>
      </c>
      <c r="C6" s="62">
        <f>Assumptions!D6</f>
        <v>36425</v>
      </c>
      <c r="D6" s="62">
        <f t="shared" si="0"/>
        <v>117245</v>
      </c>
      <c r="E6" s="46">
        <f t="shared" si="1"/>
        <v>0.76296609618012623</v>
      </c>
    </row>
    <row r="7" spans="1:5" x14ac:dyDescent="0.35">
      <c r="A7" s="5" t="s">
        <v>275</v>
      </c>
      <c r="B7" s="61">
        <f>Assumptions!B7</f>
        <v>162990</v>
      </c>
      <c r="C7" s="62">
        <f>Assumptions!D7</f>
        <v>39236</v>
      </c>
      <c r="D7" s="62">
        <f t="shared" si="0"/>
        <v>123754</v>
      </c>
      <c r="E7" s="46">
        <f t="shared" si="1"/>
        <v>0.75927357506595494</v>
      </c>
    </row>
    <row r="8" spans="1:5" x14ac:dyDescent="0.35">
      <c r="A8" s="63" t="s">
        <v>34</v>
      </c>
      <c r="B8" s="64">
        <f>AVERAGE(B3:B7)</f>
        <v>137108</v>
      </c>
      <c r="C8" s="64">
        <f t="shared" ref="C8:E8" si="2">AVERAGE(C3:C7)</f>
        <v>34034.199999999997</v>
      </c>
      <c r="D8" s="64">
        <f t="shared" si="2"/>
        <v>103073.8</v>
      </c>
      <c r="E8" s="65">
        <f>AVERAGE(E3:E7)</f>
        <v>0.7492832226028584</v>
      </c>
    </row>
  </sheetData>
  <mergeCells count="1">
    <mergeCell ref="A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CDDC5-9DA7-4A35-A2A1-1E51B81429B0}">
  <dimension ref="A1:K21"/>
  <sheetViews>
    <sheetView topLeftCell="A6" zoomScale="104" workbookViewId="0">
      <selection activeCell="G3" sqref="G3"/>
    </sheetView>
  </sheetViews>
  <sheetFormatPr defaultRowHeight="14.5" x14ac:dyDescent="0.35"/>
  <cols>
    <col min="1" max="1" width="28.1796875" customWidth="1"/>
    <col min="2" max="2" width="17.7265625" customWidth="1"/>
    <col min="3" max="3" width="19.90625" customWidth="1"/>
    <col min="4" max="4" width="18.36328125" customWidth="1"/>
    <col min="5" max="6" width="20.26953125" customWidth="1"/>
    <col min="7" max="8" width="13.7265625" customWidth="1"/>
    <col min="9" max="9" width="29.7265625" customWidth="1"/>
    <col min="10" max="10" width="36.54296875" customWidth="1"/>
    <col min="11" max="11" width="33.7265625" customWidth="1"/>
    <col min="12" max="12" width="8.7265625" customWidth="1"/>
  </cols>
  <sheetData>
    <row r="1" spans="1:11" ht="15.5" x14ac:dyDescent="0.35">
      <c r="A1" s="33" t="s">
        <v>110</v>
      </c>
      <c r="B1" s="33"/>
      <c r="C1" s="33"/>
      <c r="D1" s="33"/>
      <c r="E1" s="33"/>
      <c r="F1" s="33"/>
    </row>
    <row r="2" spans="1:11" x14ac:dyDescent="0.35">
      <c r="A2" s="6" t="s">
        <v>26</v>
      </c>
      <c r="B2" s="6" t="s">
        <v>27</v>
      </c>
      <c r="C2" s="6" t="s">
        <v>111</v>
      </c>
      <c r="D2" s="6" t="s">
        <v>112</v>
      </c>
      <c r="E2" s="6" t="s">
        <v>113</v>
      </c>
      <c r="F2" s="6" t="s">
        <v>114</v>
      </c>
      <c r="G2" s="6" t="s">
        <v>298</v>
      </c>
      <c r="H2" s="6"/>
    </row>
    <row r="3" spans="1:11" x14ac:dyDescent="0.35">
      <c r="A3" s="5" t="s">
        <v>295</v>
      </c>
      <c r="B3" s="24">
        <f>Three_Statement_Model!G6</f>
        <v>176029.2</v>
      </c>
      <c r="C3" s="24">
        <f>B3*$B$18</f>
        <v>119699.85600000001</v>
      </c>
      <c r="D3" s="24">
        <f>B3*$B$19</f>
        <v>5280.8760000000002</v>
      </c>
      <c r="E3" s="24">
        <f>B3*$B$20</f>
        <v>3520.5840000000003</v>
      </c>
      <c r="F3" s="24">
        <f>B3*$B$21</f>
        <v>3520.5840000000003</v>
      </c>
      <c r="G3" s="66">
        <f>SUM(C3:F3)</f>
        <v>132021.90000000002</v>
      </c>
      <c r="H3" s="66"/>
    </row>
    <row r="4" spans="1:11" x14ac:dyDescent="0.35">
      <c r="A4" s="5" t="s">
        <v>296</v>
      </c>
      <c r="B4" s="24">
        <f>Three_Statement_Model!H6</f>
        <v>190111.53600000002</v>
      </c>
      <c r="C4" s="24">
        <f t="shared" ref="C4:C5" si="0">B4*$B$18</f>
        <v>129275.84448000003</v>
      </c>
      <c r="D4" s="24">
        <f t="shared" ref="D4:D5" si="1">B4*$B$19</f>
        <v>5703.3460800000003</v>
      </c>
      <c r="E4" s="24">
        <f t="shared" ref="E4:E5" si="2">B4*$B$20</f>
        <v>3802.2307200000005</v>
      </c>
      <c r="F4" s="24">
        <f t="shared" ref="F4:F5" si="3">B4*$B$21</f>
        <v>3802.2307200000005</v>
      </c>
      <c r="G4" s="66">
        <f>SUM(C4:F4)</f>
        <v>142583.652</v>
      </c>
    </row>
    <row r="5" spans="1:11" ht="15.5" x14ac:dyDescent="0.35">
      <c r="A5" s="5" t="s">
        <v>297</v>
      </c>
      <c r="B5" s="24">
        <f>Three_Statement_Model!I6</f>
        <v>205320.45888000005</v>
      </c>
      <c r="C5" s="24">
        <f t="shared" si="0"/>
        <v>139617.91203840004</v>
      </c>
      <c r="D5" s="24">
        <f t="shared" si="1"/>
        <v>6159.6137664000016</v>
      </c>
      <c r="E5" s="24">
        <f t="shared" si="2"/>
        <v>4106.4091776000014</v>
      </c>
      <c r="F5" s="24">
        <f t="shared" si="3"/>
        <v>4106.4091776000014</v>
      </c>
      <c r="G5" s="66">
        <f>SUM(C5:F5)</f>
        <v>153990.34416000004</v>
      </c>
      <c r="I5" s="34" t="s">
        <v>141</v>
      </c>
      <c r="J5" s="34"/>
      <c r="K5" s="34"/>
    </row>
    <row r="6" spans="1:11" ht="30.5" customHeight="1" x14ac:dyDescent="0.35">
      <c r="I6" s="35" t="s">
        <v>142</v>
      </c>
      <c r="J6" s="35"/>
      <c r="K6" s="35"/>
    </row>
    <row r="7" spans="1:11" ht="15.5" x14ac:dyDescent="0.35">
      <c r="A7" s="33" t="s">
        <v>115</v>
      </c>
      <c r="B7" s="33"/>
      <c r="C7" s="33"/>
      <c r="E7" s="33" t="s">
        <v>129</v>
      </c>
      <c r="F7" s="33"/>
      <c r="I7" s="19"/>
    </row>
    <row r="8" spans="1:11" x14ac:dyDescent="0.35">
      <c r="A8" s="6" t="s">
        <v>116</v>
      </c>
      <c r="B8" s="6" t="s">
        <v>117</v>
      </c>
      <c r="C8" s="6" t="s">
        <v>52</v>
      </c>
      <c r="E8" s="6" t="s">
        <v>130</v>
      </c>
      <c r="F8" s="6" t="s">
        <v>75</v>
      </c>
    </row>
    <row r="9" spans="1:11" x14ac:dyDescent="0.35">
      <c r="A9" s="7" t="s">
        <v>111</v>
      </c>
      <c r="B9" s="7" t="s">
        <v>118</v>
      </c>
      <c r="C9" s="7" t="s">
        <v>38</v>
      </c>
      <c r="E9" s="7" t="s">
        <v>63</v>
      </c>
      <c r="F9" s="5" t="s">
        <v>39</v>
      </c>
    </row>
    <row r="10" spans="1:11" x14ac:dyDescent="0.35">
      <c r="A10" s="7" t="s">
        <v>119</v>
      </c>
      <c r="B10" s="7" t="s">
        <v>120</v>
      </c>
      <c r="C10" s="7" t="s">
        <v>121</v>
      </c>
      <c r="E10" s="7" t="s">
        <v>81</v>
      </c>
      <c r="F10" s="5" t="s">
        <v>39</v>
      </c>
    </row>
    <row r="11" spans="1:11" x14ac:dyDescent="0.35">
      <c r="A11" s="7" t="s">
        <v>122</v>
      </c>
      <c r="B11" s="7" t="s">
        <v>123</v>
      </c>
      <c r="C11" s="7" t="s">
        <v>124</v>
      </c>
      <c r="E11" s="7" t="s">
        <v>131</v>
      </c>
      <c r="F11" s="5" t="s">
        <v>48</v>
      </c>
    </row>
    <row r="12" spans="1:11" x14ac:dyDescent="0.35">
      <c r="A12" s="7" t="s">
        <v>125</v>
      </c>
      <c r="B12" s="7" t="s">
        <v>120</v>
      </c>
      <c r="C12" s="7" t="s">
        <v>126</v>
      </c>
      <c r="E12" s="7" t="s">
        <v>132</v>
      </c>
      <c r="F12" s="5" t="s">
        <v>48</v>
      </c>
    </row>
    <row r="13" spans="1:11" x14ac:dyDescent="0.35">
      <c r="A13" s="7" t="s">
        <v>127</v>
      </c>
      <c r="B13" s="7" t="s">
        <v>128</v>
      </c>
      <c r="C13" s="7" t="s">
        <v>27</v>
      </c>
      <c r="E13" s="7" t="s">
        <v>133</v>
      </c>
      <c r="F13" s="5" t="s">
        <v>134</v>
      </c>
    </row>
    <row r="15" spans="1:11" ht="15.5" x14ac:dyDescent="0.35">
      <c r="A15" s="33" t="s">
        <v>135</v>
      </c>
      <c r="B15" s="33"/>
    </row>
    <row r="16" spans="1:11" x14ac:dyDescent="0.35">
      <c r="A16" s="6" t="s">
        <v>61</v>
      </c>
      <c r="B16" s="6" t="s">
        <v>136</v>
      </c>
    </row>
    <row r="17" spans="1:2" x14ac:dyDescent="0.35">
      <c r="A17" s="7" t="s">
        <v>81</v>
      </c>
      <c r="B17" s="13">
        <v>7.0000000000000007E-2</v>
      </c>
    </row>
    <row r="18" spans="1:2" x14ac:dyDescent="0.35">
      <c r="A18" s="7" t="s">
        <v>137</v>
      </c>
      <c r="B18" s="13">
        <v>0.68</v>
      </c>
    </row>
    <row r="19" spans="1:2" x14ac:dyDescent="0.35">
      <c r="A19" s="7" t="s">
        <v>138</v>
      </c>
      <c r="B19" s="9">
        <v>0.03</v>
      </c>
    </row>
    <row r="20" spans="1:2" x14ac:dyDescent="0.35">
      <c r="A20" s="7" t="s">
        <v>139</v>
      </c>
      <c r="B20" s="13">
        <v>0.02</v>
      </c>
    </row>
    <row r="21" spans="1:2" x14ac:dyDescent="0.35">
      <c r="A21" s="7" t="s">
        <v>140</v>
      </c>
      <c r="B21" s="13">
        <v>0.02</v>
      </c>
    </row>
  </sheetData>
  <mergeCells count="6">
    <mergeCell ref="A1:F1"/>
    <mergeCell ref="A7:C7"/>
    <mergeCell ref="E7:F7"/>
    <mergeCell ref="A15:B15"/>
    <mergeCell ref="I5:K5"/>
    <mergeCell ref="I6:K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B6883-F73C-415E-A211-0E4C6F6016F9}">
  <dimension ref="A1:K51"/>
  <sheetViews>
    <sheetView zoomScaleNormal="100" workbookViewId="0">
      <selection activeCell="D32" sqref="D32"/>
    </sheetView>
  </sheetViews>
  <sheetFormatPr defaultRowHeight="14.5" x14ac:dyDescent="0.35"/>
  <cols>
    <col min="1" max="1" width="23.1796875" customWidth="1"/>
    <col min="2" max="2" width="19.81640625" customWidth="1"/>
    <col min="3" max="3" width="24" customWidth="1"/>
    <col min="4" max="4" width="23.08984375" customWidth="1"/>
    <col min="5" max="5" width="26.26953125" customWidth="1"/>
    <col min="6" max="6" width="18" customWidth="1"/>
    <col min="7" max="7" width="23.6328125" customWidth="1"/>
    <col min="8" max="8" width="19.90625" customWidth="1"/>
    <col min="9" max="9" width="18.7265625" customWidth="1"/>
    <col min="10" max="10" width="17.81640625" customWidth="1"/>
    <col min="11" max="11" width="20.90625" customWidth="1"/>
  </cols>
  <sheetData>
    <row r="1" spans="1:9" ht="21" x14ac:dyDescent="0.5">
      <c r="A1" s="69" t="s">
        <v>315</v>
      </c>
      <c r="B1" s="69"/>
      <c r="C1" s="69"/>
      <c r="D1" s="69"/>
      <c r="E1" s="69"/>
      <c r="F1" s="69"/>
      <c r="G1" s="69"/>
      <c r="H1" s="69"/>
      <c r="I1" s="69"/>
    </row>
    <row r="4" spans="1:9" ht="15.5" x14ac:dyDescent="0.35">
      <c r="A4" s="33" t="s">
        <v>143</v>
      </c>
      <c r="B4" s="33"/>
      <c r="C4" s="33"/>
      <c r="D4" s="33"/>
      <c r="E4" s="33"/>
      <c r="F4" s="33"/>
      <c r="G4" s="33"/>
      <c r="H4" s="33"/>
      <c r="I4" s="33"/>
    </row>
    <row r="5" spans="1:9" x14ac:dyDescent="0.35">
      <c r="A5" s="6" t="s">
        <v>144</v>
      </c>
      <c r="B5" s="6" t="s">
        <v>145</v>
      </c>
      <c r="C5" s="6" t="s">
        <v>146</v>
      </c>
      <c r="D5" s="6" t="s">
        <v>147</v>
      </c>
      <c r="E5" s="6" t="s">
        <v>148</v>
      </c>
      <c r="F5" s="6" t="s">
        <v>149</v>
      </c>
      <c r="G5" s="6" t="s">
        <v>150</v>
      </c>
      <c r="H5" s="6" t="s">
        <v>151</v>
      </c>
      <c r="I5" s="6" t="s">
        <v>152</v>
      </c>
    </row>
    <row r="6" spans="1:9" x14ac:dyDescent="0.35">
      <c r="A6" s="7" t="s">
        <v>27</v>
      </c>
      <c r="B6" s="24">
        <f>Assumptions!B3</f>
        <v>100472</v>
      </c>
      <c r="C6" s="24">
        <f>Assumptions!B4</f>
        <v>121641</v>
      </c>
      <c r="D6" s="24">
        <f>Assumptions!B5</f>
        <v>146767</v>
      </c>
      <c r="E6" s="24">
        <f>Assumptions!B6</f>
        <v>153670</v>
      </c>
      <c r="F6" s="24">
        <f>Assumptions!B7</f>
        <v>162990</v>
      </c>
      <c r="G6" s="24">
        <f>F6*(1+Scenario_Engine!$G$4)</f>
        <v>176029.2</v>
      </c>
      <c r="H6" s="24">
        <f>G6*(1+Scenario_Engine!$G$4)</f>
        <v>190111.53600000002</v>
      </c>
      <c r="I6" s="24">
        <f>H6*(1+Scenario_Engine!$G$4)</f>
        <v>205320.45888000005</v>
      </c>
    </row>
    <row r="7" spans="1:9" x14ac:dyDescent="0.35">
      <c r="A7" s="7" t="s">
        <v>28</v>
      </c>
      <c r="B7" s="5" t="str">
        <f>Assumptions!C3</f>
        <v>N/A</v>
      </c>
      <c r="C7" s="13">
        <f>Assumptions!C4</f>
        <v>0.21069551715900947</v>
      </c>
      <c r="D7" s="13">
        <f>Assumptions!C5</f>
        <v>0.20655864387829759</v>
      </c>
      <c r="E7" s="13">
        <f>Assumptions!C6</f>
        <v>4.7033733741236095E-2</v>
      </c>
      <c r="F7" s="13">
        <f>Assumptions!C7</f>
        <v>6.0649443612936782E-2</v>
      </c>
      <c r="G7" s="9">
        <f>(G6/F6)-1</f>
        <v>8.0000000000000071E-2</v>
      </c>
      <c r="H7" s="9">
        <f>(H6/G6)-1</f>
        <v>8.0000000000000071E-2</v>
      </c>
      <c r="I7" s="9">
        <f>(I6/H6)-1</f>
        <v>8.0000000000000071E-2</v>
      </c>
    </row>
    <row r="8" spans="1:9" x14ac:dyDescent="0.35">
      <c r="A8" s="7" t="s">
        <v>30</v>
      </c>
      <c r="B8" s="24">
        <f>Assumptions!D3</f>
        <v>27889</v>
      </c>
      <c r="C8" s="24">
        <f>Assumptions!D4</f>
        <v>31491</v>
      </c>
      <c r="D8" s="24">
        <f>Assumptions!D5</f>
        <v>35130</v>
      </c>
      <c r="E8" s="24">
        <f>Assumptions!D6</f>
        <v>36425</v>
      </c>
      <c r="F8" s="24">
        <f>Assumptions!D7</f>
        <v>39236</v>
      </c>
      <c r="G8" s="24">
        <f>G6*Scenario_Engine!$G$5</f>
        <v>44007.3</v>
      </c>
      <c r="H8" s="24">
        <f>H6*Scenario_Engine!$G$5</f>
        <v>47527.884000000005</v>
      </c>
      <c r="I8" s="24">
        <f>I6*Scenario_Engine!$G$5</f>
        <v>51330.114720000012</v>
      </c>
    </row>
    <row r="9" spans="1:9" x14ac:dyDescent="0.35">
      <c r="A9" s="7" t="s">
        <v>153</v>
      </c>
      <c r="B9" s="13">
        <f>Assumptions!E3</f>
        <v>0.27757982323433394</v>
      </c>
      <c r="C9" s="13">
        <f>Assumptions!E4</f>
        <v>0.25888475102966929</v>
      </c>
      <c r="D9" s="13">
        <f>Assumptions!E5</f>
        <v>0.23935898396778568</v>
      </c>
      <c r="E9" s="13">
        <f>Assumptions!E6</f>
        <v>0.23703390381987374</v>
      </c>
      <c r="F9" s="13">
        <f>Assumptions!E7</f>
        <v>0.24072642493404503</v>
      </c>
      <c r="G9" s="9">
        <f>G8/G6</f>
        <v>0.25</v>
      </c>
      <c r="H9" s="9">
        <f>H8/H6</f>
        <v>0.25</v>
      </c>
      <c r="I9" s="9">
        <f t="shared" ref="I9" si="0">I8/I6</f>
        <v>0.25</v>
      </c>
    </row>
    <row r="10" spans="1:9" x14ac:dyDescent="0.35">
      <c r="A10" s="7" t="s">
        <v>31</v>
      </c>
      <c r="B10" s="24">
        <f>Assumptions!F3</f>
        <v>19423</v>
      </c>
      <c r="C10" s="24">
        <f>Assumptions!F4</f>
        <v>22146</v>
      </c>
      <c r="D10" s="24">
        <f>Assumptions!F5</f>
        <v>24108</v>
      </c>
      <c r="E10" s="24">
        <f>Assumptions!F6</f>
        <v>26248</v>
      </c>
      <c r="F10" s="24">
        <f>Assumptions!F7</f>
        <v>26750</v>
      </c>
      <c r="G10" s="24">
        <f>G6*Scenario_Engine!$G$6</f>
        <v>28164.672000000002</v>
      </c>
      <c r="H10" s="24">
        <f>H6*Scenario_Engine!$G$6</f>
        <v>30417.845760000004</v>
      </c>
      <c r="I10" s="24">
        <f>I6*Scenario_Engine!$G$6</f>
        <v>32851.273420800011</v>
      </c>
    </row>
    <row r="11" spans="1:9" x14ac:dyDescent="0.35">
      <c r="A11" s="7" t="s">
        <v>154</v>
      </c>
      <c r="B11" s="13">
        <f>Assumptions!G3</f>
        <v>0.19331754120550998</v>
      </c>
      <c r="C11" s="13">
        <f>Assumptions!G4</f>
        <v>0.1820603250548746</v>
      </c>
      <c r="D11" s="13">
        <f>Assumptions!G5</f>
        <v>0.16426035825492105</v>
      </c>
      <c r="E11" s="13">
        <f>Assumptions!G6</f>
        <v>0.17080757467300059</v>
      </c>
      <c r="F11" s="13">
        <f>Assumptions!G7</f>
        <v>0.16412049819007302</v>
      </c>
      <c r="G11" s="9">
        <f>G10/G6</f>
        <v>0.16</v>
      </c>
      <c r="H11" s="9">
        <f t="shared" ref="H11:I11" si="1">H10/H6</f>
        <v>0.16</v>
      </c>
      <c r="I11" s="9">
        <f t="shared" si="1"/>
        <v>0.16</v>
      </c>
    </row>
    <row r="12" spans="1:9" x14ac:dyDescent="0.35">
      <c r="A12" s="7"/>
      <c r="B12" s="13"/>
      <c r="C12" s="13"/>
      <c r="D12" s="13"/>
      <c r="E12" s="13"/>
      <c r="F12" s="13"/>
      <c r="G12" s="9"/>
      <c r="H12" s="9"/>
      <c r="I12" s="9"/>
    </row>
    <row r="13" spans="1:9" x14ac:dyDescent="0.35">
      <c r="A13" s="7"/>
      <c r="B13" s="13"/>
      <c r="C13" s="13"/>
      <c r="D13" s="13"/>
      <c r="E13" s="13"/>
      <c r="F13" s="13"/>
      <c r="G13" s="9"/>
      <c r="H13" s="9"/>
      <c r="I13" s="9"/>
    </row>
    <row r="14" spans="1:9" ht="14.5" customHeight="1" x14ac:dyDescent="0.35">
      <c r="A14" s="67" t="s">
        <v>304</v>
      </c>
      <c r="B14" s="67"/>
      <c r="C14" s="67"/>
      <c r="D14" s="67"/>
      <c r="E14" s="67"/>
      <c r="F14" s="13"/>
      <c r="G14" s="9"/>
      <c r="H14" s="9"/>
      <c r="I14" s="9"/>
    </row>
    <row r="15" spans="1:9" x14ac:dyDescent="0.35">
      <c r="A15" s="6" t="s">
        <v>144</v>
      </c>
      <c r="B15" s="6" t="s">
        <v>299</v>
      </c>
      <c r="C15" s="6" t="s">
        <v>295</v>
      </c>
      <c r="D15" s="6" t="s">
        <v>296</v>
      </c>
      <c r="E15" s="6" t="s">
        <v>297</v>
      </c>
      <c r="F15" s="13"/>
      <c r="G15" s="9"/>
      <c r="H15" s="9"/>
      <c r="I15" s="9"/>
    </row>
    <row r="16" spans="1:9" x14ac:dyDescent="0.35">
      <c r="A16" s="7" t="s">
        <v>300</v>
      </c>
      <c r="B16" s="4">
        <v>14265</v>
      </c>
      <c r="C16" s="24">
        <f>B30</f>
        <v>36032.426136986309</v>
      </c>
      <c r="D16" s="24">
        <f>C30</f>
        <v>59541.246364931518</v>
      </c>
      <c r="E16" s="24">
        <f>D30</f>
        <v>84930.772211112344</v>
      </c>
      <c r="F16" s="13"/>
      <c r="G16" s="9"/>
      <c r="H16" s="9"/>
      <c r="I16" s="9"/>
    </row>
    <row r="17" spans="1:9" x14ac:dyDescent="0.35">
      <c r="A17" s="7" t="s">
        <v>301</v>
      </c>
      <c r="B17" s="4">
        <f>F6*B39/365</f>
        <v>29025.616438356163</v>
      </c>
      <c r="C17" s="24">
        <f>G6*B39/365</f>
        <v>31347.665753424659</v>
      </c>
      <c r="D17" s="24">
        <f>H6*B39/365</f>
        <v>33855.479013698634</v>
      </c>
      <c r="E17" s="24">
        <f>I6*B39/365</f>
        <v>36563.917334794525</v>
      </c>
      <c r="F17" s="13"/>
      <c r="G17" s="9"/>
      <c r="H17" s="9"/>
      <c r="I17" s="9"/>
    </row>
    <row r="18" spans="1:9" x14ac:dyDescent="0.35">
      <c r="A18" s="7" t="s">
        <v>302</v>
      </c>
      <c r="B18" s="24">
        <f>122242.5*B40/365</f>
        <v>15070.993150684932</v>
      </c>
      <c r="C18" s="24">
        <f>Cost_Model!G3*Three_Statement_Model!B40/365</f>
        <v>16276.672602739729</v>
      </c>
      <c r="D18" s="24">
        <f>Cost_Model!G4*Three_Statement_Model!B40/365</f>
        <v>17578.806410958903</v>
      </c>
      <c r="E18" s="24">
        <f>Cost_Model!G5*Three_Statement_Model!B40/365</f>
        <v>18985.110923835618</v>
      </c>
      <c r="F18" s="24"/>
      <c r="G18" s="9"/>
      <c r="H18" s="9"/>
      <c r="I18" s="9"/>
    </row>
    <row r="19" spans="1:9" x14ac:dyDescent="0.35">
      <c r="A19" s="7" t="s">
        <v>303</v>
      </c>
      <c r="B19" s="24">
        <f>B17-B18</f>
        <v>13954.623287671231</v>
      </c>
      <c r="C19" s="24">
        <f>C17-C18</f>
        <v>15070.99315068493</v>
      </c>
      <c r="D19" s="24">
        <f>D17-D18</f>
        <v>16276.672602739731</v>
      </c>
      <c r="E19" s="24">
        <f>E17-E18</f>
        <v>17578.806410958907</v>
      </c>
      <c r="F19" s="13"/>
      <c r="G19" s="9"/>
      <c r="H19" s="9"/>
      <c r="I19" s="9"/>
    </row>
    <row r="20" spans="1:9" x14ac:dyDescent="0.35">
      <c r="A20" s="7"/>
      <c r="B20" s="24"/>
      <c r="C20" s="24"/>
      <c r="D20" s="24"/>
      <c r="E20" s="24"/>
      <c r="F20" s="13"/>
      <c r="G20" s="9"/>
      <c r="H20" s="9"/>
      <c r="I20" s="9"/>
    </row>
    <row r="21" spans="1:9" x14ac:dyDescent="0.35">
      <c r="A21" s="7"/>
      <c r="B21" s="13"/>
      <c r="C21" s="13"/>
      <c r="D21" s="13"/>
      <c r="E21" s="13"/>
      <c r="F21" s="13"/>
      <c r="G21" s="9"/>
      <c r="H21" s="9"/>
      <c r="I21" s="9"/>
    </row>
    <row r="22" spans="1:9" ht="15.5" x14ac:dyDescent="0.35">
      <c r="A22" s="67" t="s">
        <v>307</v>
      </c>
      <c r="B22" s="67"/>
      <c r="C22" s="67"/>
      <c r="D22" s="67"/>
      <c r="E22" s="13"/>
      <c r="F22" s="13"/>
      <c r="G22" s="9"/>
      <c r="H22" s="9"/>
      <c r="I22" s="9"/>
    </row>
    <row r="23" spans="1:9" x14ac:dyDescent="0.35">
      <c r="A23" s="6" t="s">
        <v>144</v>
      </c>
      <c r="B23" s="6" t="s">
        <v>295</v>
      </c>
      <c r="C23" s="6" t="s">
        <v>296</v>
      </c>
      <c r="D23" s="6" t="s">
        <v>297</v>
      </c>
      <c r="E23" s="13"/>
      <c r="F23" s="13"/>
      <c r="G23" s="9"/>
      <c r="H23" s="9"/>
      <c r="I23" s="9"/>
    </row>
    <row r="24" spans="1:9" x14ac:dyDescent="0.35">
      <c r="A24" s="7" t="s">
        <v>31</v>
      </c>
      <c r="B24" s="24">
        <f>G10</f>
        <v>28164.672000000002</v>
      </c>
      <c r="C24" s="24">
        <f>H10</f>
        <v>30417.845760000004</v>
      </c>
      <c r="D24" s="24">
        <f>I10</f>
        <v>32851.273420800011</v>
      </c>
      <c r="E24" s="13"/>
      <c r="F24" s="13"/>
      <c r="G24" s="9"/>
      <c r="H24" s="9"/>
      <c r="I24" s="9"/>
    </row>
    <row r="25" spans="1:9" x14ac:dyDescent="0.35">
      <c r="A25" s="7" t="s">
        <v>308</v>
      </c>
      <c r="B25" s="24">
        <f>C17-B17</f>
        <v>2322.0493150684961</v>
      </c>
      <c r="C25" s="24">
        <f>D17-C17</f>
        <v>2507.8132602739752</v>
      </c>
      <c r="D25" s="24">
        <f>E17-D17</f>
        <v>2708.4383210958913</v>
      </c>
      <c r="E25" s="13"/>
      <c r="F25" s="13"/>
      <c r="G25" s="9"/>
      <c r="H25" s="9"/>
      <c r="I25" s="9"/>
    </row>
    <row r="26" spans="1:9" x14ac:dyDescent="0.35">
      <c r="A26" s="7" t="s">
        <v>309</v>
      </c>
      <c r="B26" s="24">
        <f>C18-B18</f>
        <v>1205.6794520547974</v>
      </c>
      <c r="C26" s="24">
        <f>D18-C18</f>
        <v>1302.1338082191742</v>
      </c>
      <c r="D26" s="24">
        <f>E18-D18</f>
        <v>1406.3045128767153</v>
      </c>
      <c r="E26" s="13"/>
      <c r="F26" s="13"/>
      <c r="G26" s="9"/>
      <c r="H26" s="9"/>
      <c r="I26" s="9"/>
    </row>
    <row r="27" spans="1:9" x14ac:dyDescent="0.35">
      <c r="A27" s="7" t="s">
        <v>310</v>
      </c>
      <c r="B27" s="24">
        <f>B24-B25+B26</f>
        <v>27048.302136986305</v>
      </c>
      <c r="C27" s="24">
        <f>C24-C25+C26</f>
        <v>29212.166307945205</v>
      </c>
      <c r="D27" s="24">
        <f>D24-D25+D26</f>
        <v>31549.139612580835</v>
      </c>
      <c r="E27" s="13"/>
      <c r="F27" s="13"/>
      <c r="G27" s="9"/>
      <c r="H27" s="9"/>
      <c r="I27" s="9"/>
    </row>
    <row r="28" spans="1:9" x14ac:dyDescent="0.35">
      <c r="A28" s="7" t="s">
        <v>311</v>
      </c>
      <c r="B28" s="24">
        <f>G6*B41</f>
        <v>5280.8760000000002</v>
      </c>
      <c r="C28" s="24">
        <f>H6*B41</f>
        <v>5703.3460800000003</v>
      </c>
      <c r="D28" s="24">
        <f>I6*B41</f>
        <v>6159.6137664000016</v>
      </c>
      <c r="E28" s="13"/>
      <c r="F28" s="13"/>
      <c r="G28" s="9"/>
      <c r="H28" s="9"/>
      <c r="I28" s="9"/>
    </row>
    <row r="29" spans="1:9" x14ac:dyDescent="0.35">
      <c r="A29" s="7" t="s">
        <v>312</v>
      </c>
      <c r="B29" s="24">
        <f>B27-B28</f>
        <v>21767.426136986305</v>
      </c>
      <c r="C29" s="24">
        <f>C27-C28</f>
        <v>23508.820227945205</v>
      </c>
      <c r="D29" s="24">
        <f>D27-D28</f>
        <v>25389.525846180833</v>
      </c>
      <c r="E29" s="13"/>
      <c r="F29" s="13"/>
      <c r="G29" s="9"/>
      <c r="H29" s="9"/>
      <c r="I29" s="9"/>
    </row>
    <row r="30" spans="1:9" x14ac:dyDescent="0.35">
      <c r="A30" s="7" t="s">
        <v>313</v>
      </c>
      <c r="B30" s="24">
        <f>B16+B29</f>
        <v>36032.426136986309</v>
      </c>
      <c r="C30" s="24">
        <f>B30+C29</f>
        <v>59541.246364931518</v>
      </c>
      <c r="D30" s="24">
        <f>C30+D29</f>
        <v>84930.772211112344</v>
      </c>
      <c r="E30" s="13"/>
      <c r="F30" s="13"/>
      <c r="G30" s="9"/>
      <c r="H30" s="9"/>
      <c r="I30" s="9"/>
    </row>
    <row r="31" spans="1:9" x14ac:dyDescent="0.35">
      <c r="A31" s="7"/>
      <c r="B31" s="13"/>
      <c r="C31" s="13"/>
      <c r="D31" s="13"/>
      <c r="E31" s="13"/>
      <c r="F31" s="13"/>
      <c r="G31" s="9"/>
      <c r="H31" s="9"/>
      <c r="I31" s="9"/>
    </row>
    <row r="32" spans="1:9" x14ac:dyDescent="0.35">
      <c r="A32" s="7"/>
      <c r="B32" s="13"/>
      <c r="C32" s="13"/>
      <c r="D32" s="13"/>
      <c r="E32" s="13"/>
      <c r="F32" s="13"/>
      <c r="G32" s="9"/>
      <c r="H32" s="9"/>
      <c r="I32" s="9"/>
    </row>
    <row r="33" spans="1:11" x14ac:dyDescent="0.35">
      <c r="G33" s="66"/>
      <c r="H33" s="66"/>
    </row>
    <row r="34" spans="1:11" ht="15.5" x14ac:dyDescent="0.35">
      <c r="A34" s="33" t="s">
        <v>155</v>
      </c>
      <c r="B34" s="33"/>
      <c r="E34" s="71" t="s">
        <v>318</v>
      </c>
      <c r="F34" s="71"/>
      <c r="G34" s="71"/>
      <c r="H34" s="66"/>
    </row>
    <row r="35" spans="1:11" x14ac:dyDescent="0.35">
      <c r="A35" s="6" t="s">
        <v>61</v>
      </c>
      <c r="B35" s="6" t="s">
        <v>136</v>
      </c>
      <c r="E35" s="72" t="s">
        <v>260</v>
      </c>
      <c r="F35" s="73" t="s">
        <v>299</v>
      </c>
      <c r="G35" s="73" t="s">
        <v>297</v>
      </c>
    </row>
    <row r="36" spans="1:11" x14ac:dyDescent="0.35">
      <c r="A36" s="7" t="s">
        <v>131</v>
      </c>
      <c r="B36" s="13">
        <v>0.08</v>
      </c>
      <c r="E36" s="74" t="s">
        <v>27</v>
      </c>
      <c r="F36" s="75">
        <v>162990</v>
      </c>
      <c r="G36" s="75">
        <v>205320</v>
      </c>
    </row>
    <row r="37" spans="1:11" x14ac:dyDescent="0.35">
      <c r="A37" s="7" t="s">
        <v>156</v>
      </c>
      <c r="B37" s="13">
        <v>0.25</v>
      </c>
      <c r="E37" s="74" t="s">
        <v>30</v>
      </c>
      <c r="F37" s="75">
        <v>39236</v>
      </c>
      <c r="G37" s="75">
        <v>51330</v>
      </c>
    </row>
    <row r="38" spans="1:11" x14ac:dyDescent="0.35">
      <c r="A38" s="7" t="s">
        <v>157</v>
      </c>
      <c r="B38" s="13">
        <v>0.16</v>
      </c>
      <c r="E38" s="74" t="s">
        <v>31</v>
      </c>
      <c r="F38" s="75">
        <v>26750</v>
      </c>
      <c r="G38" s="75">
        <v>32851</v>
      </c>
    </row>
    <row r="39" spans="1:11" ht="29" x14ac:dyDescent="0.35">
      <c r="A39" s="7" t="s">
        <v>305</v>
      </c>
      <c r="B39" s="68">
        <v>65</v>
      </c>
      <c r="E39" s="74" t="s">
        <v>312</v>
      </c>
      <c r="F39" s="75">
        <v>24674</v>
      </c>
      <c r="G39" s="75">
        <v>25390</v>
      </c>
    </row>
    <row r="40" spans="1:11" ht="29" x14ac:dyDescent="0.35">
      <c r="A40" s="7" t="s">
        <v>306</v>
      </c>
      <c r="B40" s="68">
        <v>45</v>
      </c>
      <c r="E40" s="70" t="s">
        <v>319</v>
      </c>
      <c r="F40" s="70"/>
      <c r="G40" s="70"/>
    </row>
    <row r="41" spans="1:11" x14ac:dyDescent="0.35">
      <c r="A41" s="7" t="s">
        <v>314</v>
      </c>
      <c r="B41" s="9">
        <v>0.03</v>
      </c>
      <c r="E41" s="70" t="s">
        <v>320</v>
      </c>
      <c r="F41" s="70"/>
      <c r="G41" s="70"/>
    </row>
    <row r="42" spans="1:11" ht="34.5" customHeight="1" x14ac:dyDescent="0.35">
      <c r="A42" s="7" t="s">
        <v>316</v>
      </c>
      <c r="B42" s="9" t="s">
        <v>245</v>
      </c>
      <c r="E42" s="70" t="s">
        <v>321</v>
      </c>
      <c r="F42" s="70"/>
      <c r="G42" s="70"/>
    </row>
    <row r="43" spans="1:11" x14ac:dyDescent="0.35">
      <c r="A43" s="7"/>
      <c r="B43" s="9"/>
    </row>
    <row r="45" spans="1:11" ht="15.5" x14ac:dyDescent="0.35">
      <c r="A45" s="37" t="s">
        <v>158</v>
      </c>
      <c r="B45" s="38"/>
      <c r="C45" s="39"/>
      <c r="E45" s="37" t="s">
        <v>162</v>
      </c>
      <c r="F45" s="38"/>
      <c r="G45" s="39"/>
      <c r="I45" s="37" t="s">
        <v>166</v>
      </c>
      <c r="J45" s="38"/>
      <c r="K45" s="39"/>
    </row>
    <row r="46" spans="1:11" ht="33" customHeight="1" x14ac:dyDescent="0.35">
      <c r="A46" s="40" t="s">
        <v>159</v>
      </c>
      <c r="B46" s="36"/>
      <c r="C46" s="41"/>
      <c r="E46" s="40" t="s">
        <v>163</v>
      </c>
      <c r="F46" s="36"/>
      <c r="G46" s="41"/>
      <c r="I46" s="40" t="s">
        <v>167</v>
      </c>
      <c r="J46" s="36"/>
      <c r="K46" s="41"/>
    </row>
    <row r="47" spans="1:11" ht="43.5" customHeight="1" x14ac:dyDescent="0.35">
      <c r="A47" s="20" t="s">
        <v>160</v>
      </c>
      <c r="B47" s="21" t="s">
        <v>161</v>
      </c>
      <c r="C47" s="22"/>
      <c r="E47" s="20" t="s">
        <v>164</v>
      </c>
      <c r="F47" s="21" t="s">
        <v>165</v>
      </c>
      <c r="G47" s="22"/>
      <c r="I47" s="20" t="s">
        <v>164</v>
      </c>
      <c r="J47" s="23" t="s">
        <v>168</v>
      </c>
      <c r="K47" s="22"/>
    </row>
    <row r="50" spans="1:2" ht="15.5" x14ac:dyDescent="0.35">
      <c r="A50" s="33" t="s">
        <v>169</v>
      </c>
      <c r="B50" s="33"/>
    </row>
    <row r="51" spans="1:2" ht="72.5" customHeight="1" x14ac:dyDescent="0.35">
      <c r="A51" s="36" t="s">
        <v>317</v>
      </c>
      <c r="B51" s="36"/>
    </row>
  </sheetData>
  <mergeCells count="17">
    <mergeCell ref="A1:I1"/>
    <mergeCell ref="E34:G34"/>
    <mergeCell ref="E40:G40"/>
    <mergeCell ref="E41:G41"/>
    <mergeCell ref="E42:G42"/>
    <mergeCell ref="A50:B50"/>
    <mergeCell ref="A51:B51"/>
    <mergeCell ref="A4:I4"/>
    <mergeCell ref="A34:B34"/>
    <mergeCell ref="A45:C45"/>
    <mergeCell ref="A46:C46"/>
    <mergeCell ref="E45:G45"/>
    <mergeCell ref="E46:G46"/>
    <mergeCell ref="I45:K45"/>
    <mergeCell ref="I46:K46"/>
    <mergeCell ref="A14:E14"/>
    <mergeCell ref="A22:D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F65B-C59B-4599-B15B-979200B2E0BF}">
  <dimension ref="A1:H39"/>
  <sheetViews>
    <sheetView workbookViewId="0">
      <selection activeCell="A2" sqref="A2:D2"/>
    </sheetView>
  </sheetViews>
  <sheetFormatPr defaultRowHeight="14.5" x14ac:dyDescent="0.35"/>
  <cols>
    <col min="1" max="1" width="21.54296875" customWidth="1"/>
    <col min="2" max="2" width="20.6328125" customWidth="1"/>
    <col min="3" max="3" width="19.7265625" customWidth="1"/>
    <col min="4" max="4" width="18" customWidth="1"/>
    <col min="6" max="6" width="16.453125" customWidth="1"/>
    <col min="7" max="7" width="16.81640625" customWidth="1"/>
    <col min="8" max="8" width="37.1796875" customWidth="1"/>
  </cols>
  <sheetData>
    <row r="1" spans="1:8" x14ac:dyDescent="0.35">
      <c r="A1" s="43" t="s">
        <v>226</v>
      </c>
      <c r="B1" s="43"/>
      <c r="C1" s="43"/>
      <c r="D1" s="43"/>
    </row>
    <row r="2" spans="1:8" ht="15.5" x14ac:dyDescent="0.35">
      <c r="A2" s="36" t="s">
        <v>227</v>
      </c>
      <c r="B2" s="36"/>
      <c r="C2" s="36"/>
      <c r="D2" s="36"/>
      <c r="F2" s="33" t="s">
        <v>262</v>
      </c>
      <c r="G2" s="33"/>
    </row>
    <row r="3" spans="1:8" x14ac:dyDescent="0.35">
      <c r="F3" s="6" t="s">
        <v>260</v>
      </c>
      <c r="G3" s="6" t="s">
        <v>261</v>
      </c>
    </row>
    <row r="4" spans="1:8" x14ac:dyDescent="0.35">
      <c r="F4" s="7" t="s">
        <v>131</v>
      </c>
      <c r="G4" s="9">
        <f>_xlfn.XLOOKUP(A2,A11:A16,B11:B16)</f>
        <v>0.08</v>
      </c>
    </row>
    <row r="5" spans="1:8" x14ac:dyDescent="0.35">
      <c r="F5" s="7" t="s">
        <v>156</v>
      </c>
      <c r="G5" s="9">
        <f>_xlfn.XLOOKUP(A2,A11:A16,C11:C16)</f>
        <v>0.25</v>
      </c>
    </row>
    <row r="6" spans="1:8" x14ac:dyDescent="0.35">
      <c r="F6" s="7" t="s">
        <v>157</v>
      </c>
      <c r="G6" s="9">
        <f>_xlfn.XLOOKUP(A2,A11:A16,D11:D16)</f>
        <v>0.16</v>
      </c>
    </row>
    <row r="9" spans="1:8" ht="15.5" x14ac:dyDescent="0.35">
      <c r="A9" s="33" t="s">
        <v>234</v>
      </c>
      <c r="B9" s="33"/>
      <c r="C9" s="33"/>
      <c r="D9" s="33"/>
      <c r="G9" s="33" t="s">
        <v>241</v>
      </c>
      <c r="H9" s="33"/>
    </row>
    <row r="10" spans="1:8" x14ac:dyDescent="0.35">
      <c r="A10" s="6" t="s">
        <v>229</v>
      </c>
      <c r="B10" s="6" t="s">
        <v>131</v>
      </c>
      <c r="C10" s="6" t="s">
        <v>156</v>
      </c>
      <c r="D10" s="6" t="s">
        <v>157</v>
      </c>
      <c r="G10" s="6" t="s">
        <v>229</v>
      </c>
      <c r="H10" s="6" t="s">
        <v>176</v>
      </c>
    </row>
    <row r="11" spans="1:8" x14ac:dyDescent="0.35">
      <c r="A11" s="7" t="s">
        <v>227</v>
      </c>
      <c r="B11" s="13">
        <v>0.08</v>
      </c>
      <c r="C11" s="13">
        <v>0.25</v>
      </c>
      <c r="D11" s="13">
        <v>0.16</v>
      </c>
      <c r="G11" s="7" t="s">
        <v>227</v>
      </c>
      <c r="H11" s="7" t="s">
        <v>235</v>
      </c>
    </row>
    <row r="12" spans="1:8" x14ac:dyDescent="0.35">
      <c r="A12" s="7" t="s">
        <v>228</v>
      </c>
      <c r="B12" s="13">
        <v>0.15</v>
      </c>
      <c r="C12" s="13">
        <v>0.26</v>
      </c>
      <c r="D12" s="13">
        <v>0.18</v>
      </c>
      <c r="G12" s="7" t="s">
        <v>228</v>
      </c>
      <c r="H12" s="7" t="s">
        <v>236</v>
      </c>
    </row>
    <row r="13" spans="1:8" x14ac:dyDescent="0.35">
      <c r="A13" s="7" t="s">
        <v>230</v>
      </c>
      <c r="B13" s="13">
        <v>0.02</v>
      </c>
      <c r="C13" s="13">
        <v>0.2</v>
      </c>
      <c r="D13" s="13">
        <v>0.12</v>
      </c>
      <c r="G13" s="7" t="s">
        <v>230</v>
      </c>
      <c r="H13" s="7" t="s">
        <v>237</v>
      </c>
    </row>
    <row r="14" spans="1:8" x14ac:dyDescent="0.35">
      <c r="A14" s="7" t="s">
        <v>231</v>
      </c>
      <c r="B14" s="13">
        <v>0.08</v>
      </c>
      <c r="C14" s="13">
        <v>0.21</v>
      </c>
      <c r="D14" s="13">
        <v>0.14000000000000001</v>
      </c>
      <c r="G14" s="7" t="s">
        <v>231</v>
      </c>
      <c r="H14" s="7" t="s">
        <v>238</v>
      </c>
    </row>
    <row r="15" spans="1:8" x14ac:dyDescent="0.35">
      <c r="A15" s="7" t="s">
        <v>232</v>
      </c>
      <c r="B15" s="13">
        <v>0.12</v>
      </c>
      <c r="C15" s="13">
        <v>0.22</v>
      </c>
      <c r="D15" s="13">
        <v>0.15</v>
      </c>
      <c r="G15" s="7" t="s">
        <v>232</v>
      </c>
      <c r="H15" s="7" t="s">
        <v>239</v>
      </c>
    </row>
    <row r="16" spans="1:8" x14ac:dyDescent="0.35">
      <c r="A16" s="7" t="s">
        <v>233</v>
      </c>
      <c r="B16" s="13">
        <v>7.0000000000000007E-2</v>
      </c>
      <c r="C16" s="13">
        <v>0.27</v>
      </c>
      <c r="D16" s="13">
        <v>0.19</v>
      </c>
      <c r="G16" s="7" t="s">
        <v>233</v>
      </c>
      <c r="H16" s="7" t="s">
        <v>240</v>
      </c>
    </row>
    <row r="18" spans="1:4" ht="15.5" x14ac:dyDescent="0.35">
      <c r="A18" s="33" t="s">
        <v>252</v>
      </c>
      <c r="B18" s="33"/>
      <c r="C18" s="33"/>
      <c r="D18" s="33"/>
    </row>
    <row r="19" spans="1:4" x14ac:dyDescent="0.35">
      <c r="A19" s="6" t="s">
        <v>229</v>
      </c>
      <c r="B19" s="6" t="s">
        <v>242</v>
      </c>
      <c r="C19" s="6" t="s">
        <v>243</v>
      </c>
      <c r="D19" s="6" t="s">
        <v>244</v>
      </c>
    </row>
    <row r="20" spans="1:4" x14ac:dyDescent="0.35">
      <c r="A20" s="7" t="s">
        <v>227</v>
      </c>
      <c r="B20" s="7" t="s">
        <v>245</v>
      </c>
      <c r="C20" s="7" t="s">
        <v>245</v>
      </c>
      <c r="D20" s="7" t="s">
        <v>134</v>
      </c>
    </row>
    <row r="21" spans="1:4" x14ac:dyDescent="0.35">
      <c r="A21" s="7" t="s">
        <v>228</v>
      </c>
      <c r="B21" s="7" t="s">
        <v>246</v>
      </c>
      <c r="C21" s="7" t="s">
        <v>246</v>
      </c>
      <c r="D21" s="7" t="s">
        <v>48</v>
      </c>
    </row>
    <row r="22" spans="1:4" x14ac:dyDescent="0.35">
      <c r="A22" s="7" t="s">
        <v>230</v>
      </c>
      <c r="B22" s="7" t="s">
        <v>247</v>
      </c>
      <c r="C22" s="7" t="s">
        <v>247</v>
      </c>
      <c r="D22" s="7" t="s">
        <v>39</v>
      </c>
    </row>
    <row r="23" spans="1:4" x14ac:dyDescent="0.35">
      <c r="A23" s="7" t="s">
        <v>231</v>
      </c>
      <c r="B23" s="7" t="s">
        <v>248</v>
      </c>
      <c r="C23" s="7" t="s">
        <v>247</v>
      </c>
      <c r="D23" s="7" t="s">
        <v>48</v>
      </c>
    </row>
    <row r="24" spans="1:4" x14ac:dyDescent="0.35">
      <c r="A24" s="7" t="s">
        <v>232</v>
      </c>
      <c r="B24" s="7" t="s">
        <v>249</v>
      </c>
      <c r="C24" s="7" t="s">
        <v>250</v>
      </c>
      <c r="D24" s="7" t="s">
        <v>48</v>
      </c>
    </row>
    <row r="25" spans="1:4" x14ac:dyDescent="0.35">
      <c r="A25" s="7" t="s">
        <v>233</v>
      </c>
      <c r="B25" s="7" t="s">
        <v>251</v>
      </c>
      <c r="C25" s="7" t="s">
        <v>249</v>
      </c>
      <c r="D25" s="7" t="s">
        <v>134</v>
      </c>
    </row>
    <row r="28" spans="1:4" ht="15.5" x14ac:dyDescent="0.35">
      <c r="A28" s="33" t="s">
        <v>253</v>
      </c>
      <c r="B28" s="33"/>
      <c r="C28" s="33"/>
      <c r="D28" s="33"/>
    </row>
    <row r="29" spans="1:4" x14ac:dyDescent="0.35">
      <c r="A29" s="42" t="s">
        <v>254</v>
      </c>
      <c r="B29" s="42"/>
      <c r="C29" s="42"/>
      <c r="D29" s="42"/>
    </row>
    <row r="30" spans="1:4" x14ac:dyDescent="0.35">
      <c r="A30" s="25"/>
      <c r="B30" s="25"/>
      <c r="C30" s="25"/>
      <c r="D30" s="25"/>
    </row>
    <row r="31" spans="1:4" x14ac:dyDescent="0.35">
      <c r="A31" s="42" t="s">
        <v>255</v>
      </c>
      <c r="B31" s="42"/>
      <c r="C31" s="42"/>
      <c r="D31" s="42"/>
    </row>
    <row r="32" spans="1:4" x14ac:dyDescent="0.35">
      <c r="A32" s="25"/>
      <c r="B32" s="25"/>
      <c r="C32" s="25"/>
      <c r="D32" s="25"/>
    </row>
    <row r="33" spans="1:4" x14ac:dyDescent="0.35">
      <c r="A33" s="42" t="s">
        <v>256</v>
      </c>
      <c r="B33" s="42"/>
      <c r="C33" s="42"/>
      <c r="D33" s="42"/>
    </row>
    <row r="34" spans="1:4" x14ac:dyDescent="0.35">
      <c r="A34" s="25"/>
      <c r="B34" s="25"/>
      <c r="C34" s="25"/>
      <c r="D34" s="25"/>
    </row>
    <row r="35" spans="1:4" x14ac:dyDescent="0.35">
      <c r="A35" s="42" t="s">
        <v>257</v>
      </c>
      <c r="B35" s="42"/>
      <c r="C35" s="42"/>
      <c r="D35" s="42"/>
    </row>
    <row r="36" spans="1:4" x14ac:dyDescent="0.35">
      <c r="A36" s="25"/>
      <c r="B36" s="25"/>
      <c r="C36" s="25"/>
      <c r="D36" s="25"/>
    </row>
    <row r="37" spans="1:4" x14ac:dyDescent="0.35">
      <c r="A37" s="42" t="s">
        <v>258</v>
      </c>
      <c r="B37" s="42"/>
      <c r="C37" s="42"/>
      <c r="D37" s="42"/>
    </row>
    <row r="38" spans="1:4" x14ac:dyDescent="0.35">
      <c r="A38" s="25"/>
      <c r="B38" s="25"/>
      <c r="C38" s="25"/>
      <c r="D38" s="25"/>
    </row>
    <row r="39" spans="1:4" x14ac:dyDescent="0.35">
      <c r="A39" s="42" t="s">
        <v>259</v>
      </c>
      <c r="B39" s="42"/>
      <c r="C39" s="42"/>
      <c r="D39" s="42"/>
    </row>
  </sheetData>
  <mergeCells count="13">
    <mergeCell ref="A39:D39"/>
    <mergeCell ref="A1:D1"/>
    <mergeCell ref="A2:D2"/>
    <mergeCell ref="A9:D9"/>
    <mergeCell ref="G9:H9"/>
    <mergeCell ref="A18:D18"/>
    <mergeCell ref="A28:D28"/>
    <mergeCell ref="F2:G2"/>
    <mergeCell ref="A29:D29"/>
    <mergeCell ref="A31:D31"/>
    <mergeCell ref="A33:D33"/>
    <mergeCell ref="A35:D35"/>
    <mergeCell ref="A37:D37"/>
  </mergeCells>
  <dataValidations count="1">
    <dataValidation type="list" allowBlank="1" showInputMessage="1" showErrorMessage="1" sqref="A2" xr:uid="{7AAB0775-8EA9-4E17-8D4B-BED3761A2589}">
      <formula1>"Base,Growth,Recession,Wage Inflation,Hiring Expansion,Margin Protection"</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21DC6-1BDD-49C5-A493-746978012614}">
  <dimension ref="A1:L9"/>
  <sheetViews>
    <sheetView zoomScale="74" workbookViewId="0">
      <selection activeCell="J6" sqref="J6"/>
    </sheetView>
  </sheetViews>
  <sheetFormatPr defaultRowHeight="14.5" x14ac:dyDescent="0.35"/>
  <cols>
    <col min="1" max="1" width="47.08984375" customWidth="1"/>
    <col min="2" max="2" width="37.6328125" customWidth="1"/>
    <col min="4" max="4" width="14.1796875" customWidth="1"/>
    <col min="5" max="5" width="14.26953125" customWidth="1"/>
    <col min="6" max="6" width="14.08984375" customWidth="1"/>
    <col min="7" max="7" width="12.6328125" customWidth="1"/>
    <col min="8" max="9" width="12.90625" customWidth="1"/>
    <col min="10" max="10" width="12.6328125" customWidth="1"/>
    <col min="11" max="11" width="13.90625" customWidth="1"/>
    <col min="12" max="12" width="12.36328125" customWidth="1"/>
  </cols>
  <sheetData>
    <row r="1" spans="1:12" ht="23.5" x14ac:dyDescent="0.35">
      <c r="A1" s="44" t="s">
        <v>263</v>
      </c>
      <c r="B1" s="44"/>
      <c r="C1" s="26"/>
      <c r="D1" s="26"/>
      <c r="E1" s="26"/>
    </row>
    <row r="2" spans="1:12" ht="23.5" x14ac:dyDescent="0.55000000000000004">
      <c r="A2" s="29" t="s">
        <v>264</v>
      </c>
      <c r="B2" s="30">
        <f>Three_Statement_Model!I6</f>
        <v>205320.45888000005</v>
      </c>
      <c r="D2" s="6" t="s">
        <v>144</v>
      </c>
      <c r="E2" s="6" t="s">
        <v>145</v>
      </c>
      <c r="F2" s="6" t="s">
        <v>146</v>
      </c>
      <c r="G2" s="6" t="s">
        <v>147</v>
      </c>
      <c r="H2" s="6" t="s">
        <v>148</v>
      </c>
      <c r="I2" s="6" t="s">
        <v>149</v>
      </c>
      <c r="J2" s="6" t="s">
        <v>150</v>
      </c>
      <c r="K2" s="6" t="s">
        <v>151</v>
      </c>
      <c r="L2" s="6" t="s">
        <v>152</v>
      </c>
    </row>
    <row r="3" spans="1:12" ht="23.5" x14ac:dyDescent="0.55000000000000004">
      <c r="A3" s="29" t="s">
        <v>265</v>
      </c>
      <c r="B3" s="31">
        <f>Three_Statement_Model!I8</f>
        <v>51330.114720000012</v>
      </c>
      <c r="D3" s="6" t="s">
        <v>27</v>
      </c>
      <c r="E3" s="24">
        <f>Three_Statement_Model!B6</f>
        <v>100472</v>
      </c>
      <c r="F3" s="24">
        <f>Three_Statement_Model!C6</f>
        <v>121641</v>
      </c>
      <c r="G3" s="24">
        <f>Three_Statement_Model!D6</f>
        <v>146767</v>
      </c>
      <c r="H3" s="24">
        <f>Three_Statement_Model!E6</f>
        <v>153670</v>
      </c>
      <c r="I3" s="24">
        <f>Three_Statement_Model!F6</f>
        <v>162990</v>
      </c>
      <c r="J3" s="24">
        <f>Three_Statement_Model!G6</f>
        <v>176029.2</v>
      </c>
      <c r="K3" s="24">
        <f>Three_Statement_Model!H6</f>
        <v>190111.53600000002</v>
      </c>
      <c r="L3" s="24">
        <f>Three_Statement_Model!I6</f>
        <v>205320.45888000005</v>
      </c>
    </row>
    <row r="4" spans="1:12" ht="23.5" x14ac:dyDescent="0.55000000000000004">
      <c r="A4" s="29" t="s">
        <v>266</v>
      </c>
      <c r="B4" s="31">
        <f>Three_Statement_Model!I10</f>
        <v>32851.273420800011</v>
      </c>
      <c r="D4" s="1"/>
      <c r="E4" s="4"/>
      <c r="F4" s="4"/>
      <c r="G4" s="4"/>
      <c r="H4" s="4"/>
      <c r="I4" s="4"/>
      <c r="J4" s="4"/>
      <c r="K4" s="4"/>
      <c r="L4" s="4"/>
    </row>
    <row r="5" spans="1:12" x14ac:dyDescent="0.35">
      <c r="D5" s="1" t="str">
        <f>Three_Statement_Model!A5</f>
        <v>Particulars</v>
      </c>
      <c r="E5" s="1" t="str">
        <f>Three_Statement_Model!B5</f>
        <v>2021A</v>
      </c>
      <c r="F5" s="1" t="str">
        <f>Three_Statement_Model!C5</f>
        <v>2022A</v>
      </c>
      <c r="G5" s="1" t="str">
        <f>Three_Statement_Model!D5</f>
        <v>2023A</v>
      </c>
      <c r="H5" s="1" t="str">
        <f>Three_Statement_Model!E5</f>
        <v>2024A</v>
      </c>
      <c r="I5" s="1" t="str">
        <f>Three_Statement_Model!F5</f>
        <v>2025A</v>
      </c>
      <c r="J5" s="1" t="str">
        <f>Three_Statement_Model!G5</f>
        <v>2026F</v>
      </c>
      <c r="K5" s="1" t="str">
        <f>Three_Statement_Model!H5</f>
        <v>2027F</v>
      </c>
      <c r="L5" s="1" t="str">
        <f>Three_Statement_Model!I5</f>
        <v>2028F</v>
      </c>
    </row>
    <row r="6" spans="1:12" ht="23.5" x14ac:dyDescent="0.55000000000000004">
      <c r="A6" s="28" t="s">
        <v>267</v>
      </c>
      <c r="B6" s="32" t="str">
        <f>Scenario_Engine!A2</f>
        <v>Base</v>
      </c>
      <c r="D6" s="27" t="str">
        <f>Three_Statement_Model!A8</f>
        <v>Operating Profit</v>
      </c>
      <c r="E6" s="4">
        <f>Three_Statement_Model!B8</f>
        <v>27889</v>
      </c>
      <c r="F6" s="4">
        <f>Three_Statement_Model!C8</f>
        <v>31491</v>
      </c>
      <c r="G6" s="4">
        <f>Three_Statement_Model!D8</f>
        <v>35130</v>
      </c>
      <c r="H6" s="4">
        <f>Three_Statement_Model!E8</f>
        <v>36425</v>
      </c>
      <c r="I6" s="4">
        <f>Three_Statement_Model!F8</f>
        <v>39236</v>
      </c>
      <c r="J6" s="4">
        <f>Three_Statement_Model!G8</f>
        <v>44007.3</v>
      </c>
      <c r="K6" s="4">
        <f>Three_Statement_Model!H8</f>
        <v>47527.884000000005</v>
      </c>
      <c r="L6" s="4">
        <f>Three_Statement_Model!I8</f>
        <v>51330.114720000012</v>
      </c>
    </row>
    <row r="8" spans="1:12" x14ac:dyDescent="0.35">
      <c r="D8" s="1" t="str">
        <f>Three_Statement_Model!A5</f>
        <v>Particulars</v>
      </c>
      <c r="E8" s="1" t="str">
        <f>Three_Statement_Model!B5</f>
        <v>2021A</v>
      </c>
      <c r="F8" s="1" t="str">
        <f>Three_Statement_Model!C5</f>
        <v>2022A</v>
      </c>
      <c r="G8" s="1" t="str">
        <f>Three_Statement_Model!D5</f>
        <v>2023A</v>
      </c>
      <c r="H8" s="1" t="str">
        <f>Three_Statement_Model!E5</f>
        <v>2024A</v>
      </c>
      <c r="I8" s="1" t="str">
        <f>Three_Statement_Model!F5</f>
        <v>2025A</v>
      </c>
      <c r="J8" s="1" t="str">
        <f>Three_Statement_Model!G5</f>
        <v>2026F</v>
      </c>
      <c r="K8" s="1" t="str">
        <f>Three_Statement_Model!H5</f>
        <v>2027F</v>
      </c>
      <c r="L8" s="1" t="str">
        <f>Three_Statement_Model!I5</f>
        <v>2028F</v>
      </c>
    </row>
    <row r="9" spans="1:12" x14ac:dyDescent="0.35">
      <c r="D9" s="27" t="str">
        <f>Three_Statement_Model!A10</f>
        <v>Net Profit</v>
      </c>
      <c r="E9" s="4">
        <f>Three_Statement_Model!B10</f>
        <v>19423</v>
      </c>
      <c r="F9" s="4">
        <f>Three_Statement_Model!C10</f>
        <v>22146</v>
      </c>
      <c r="G9" s="4">
        <f>Three_Statement_Model!D10</f>
        <v>24108</v>
      </c>
      <c r="H9" s="4">
        <f>Three_Statement_Model!E10</f>
        <v>26248</v>
      </c>
      <c r="I9" s="4">
        <f>Three_Statement_Model!F10</f>
        <v>26750</v>
      </c>
      <c r="J9" s="4">
        <f>Three_Statement_Model!G10</f>
        <v>28164.672000000002</v>
      </c>
      <c r="K9" s="4">
        <f>Three_Statement_Model!H10</f>
        <v>30417.845760000004</v>
      </c>
      <c r="L9" s="4">
        <f>Three_Statement_Model!I10</f>
        <v>32851.273420800011</v>
      </c>
    </row>
  </sheetData>
  <mergeCells count="1">
    <mergeCell ref="A1:B1"/>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76329-36EA-4180-99A4-4FEACEB3DAAE}">
  <dimension ref="A1:G16"/>
  <sheetViews>
    <sheetView workbookViewId="0">
      <selection activeCell="C12" sqref="C12"/>
    </sheetView>
  </sheetViews>
  <sheetFormatPr defaultRowHeight="14.5" x14ac:dyDescent="0.35"/>
  <cols>
    <col min="1" max="1" width="15.08984375" customWidth="1"/>
    <col min="2" max="2" width="14.36328125" customWidth="1"/>
    <col min="3" max="3" width="15" customWidth="1"/>
    <col min="4" max="4" width="15.1796875" customWidth="1"/>
  </cols>
  <sheetData>
    <row r="1" spans="1:7" ht="18.5" x14ac:dyDescent="0.45">
      <c r="A1" s="78" t="s">
        <v>322</v>
      </c>
      <c r="B1" s="78"/>
      <c r="C1" s="78"/>
      <c r="D1" s="78"/>
      <c r="E1" s="78"/>
      <c r="F1" s="78"/>
      <c r="G1" s="78"/>
    </row>
    <row r="2" spans="1:7" x14ac:dyDescent="0.35">
      <c r="A2" s="77" t="s">
        <v>323</v>
      </c>
      <c r="B2" s="77"/>
      <c r="C2" s="77"/>
      <c r="D2" s="77"/>
      <c r="E2" s="77"/>
      <c r="F2" s="77"/>
      <c r="G2" s="77"/>
    </row>
    <row r="3" spans="1:7" ht="49" customHeight="1" x14ac:dyDescent="0.35">
      <c r="A3" s="76" t="s">
        <v>324</v>
      </c>
      <c r="B3" s="76"/>
      <c r="C3" s="76"/>
      <c r="D3" s="76"/>
      <c r="E3" s="76"/>
      <c r="F3" s="76"/>
      <c r="G3" s="76"/>
    </row>
    <row r="4" spans="1:7" ht="55.5" customHeight="1" x14ac:dyDescent="0.35">
      <c r="A4" s="76" t="s">
        <v>325</v>
      </c>
      <c r="B4" s="76"/>
      <c r="C4" s="76"/>
      <c r="D4" s="76"/>
      <c r="E4" s="76"/>
      <c r="F4" s="76"/>
      <c r="G4" s="76"/>
    </row>
    <row r="6" spans="1:7" ht="15.5" x14ac:dyDescent="0.35">
      <c r="A6" s="33" t="s">
        <v>326</v>
      </c>
      <c r="B6" s="33"/>
      <c r="C6" s="33"/>
      <c r="D6" s="33"/>
    </row>
    <row r="7" spans="1:7" x14ac:dyDescent="0.35">
      <c r="A7" s="6" t="s">
        <v>260</v>
      </c>
      <c r="B7" s="6" t="s">
        <v>299</v>
      </c>
      <c r="C7" s="6" t="s">
        <v>297</v>
      </c>
      <c r="D7" s="6" t="s">
        <v>327</v>
      </c>
    </row>
    <row r="8" spans="1:7" x14ac:dyDescent="0.35">
      <c r="A8" s="7" t="s">
        <v>27</v>
      </c>
      <c r="B8" s="24">
        <f>Three_Statement_Model!F6</f>
        <v>162990</v>
      </c>
      <c r="C8" s="24">
        <f>Three_Statement_Model!I6</f>
        <v>205320.45888000005</v>
      </c>
      <c r="D8" s="13">
        <f>(C8/B8)-1</f>
        <v>0.25971200000000039</v>
      </c>
    </row>
    <row r="9" spans="1:7" x14ac:dyDescent="0.35">
      <c r="A9" s="7" t="s">
        <v>30</v>
      </c>
      <c r="B9" s="24">
        <f>Three_Statement_Model!F8</f>
        <v>39236</v>
      </c>
      <c r="C9" s="24">
        <f>Three_Statement_Model!I8</f>
        <v>51330.114720000012</v>
      </c>
      <c r="D9" s="13">
        <f t="shared" ref="D9:D12" si="0">(C9/B9)-1</f>
        <v>0.30824025690692247</v>
      </c>
    </row>
    <row r="10" spans="1:7" x14ac:dyDescent="0.35">
      <c r="A10" s="7" t="s">
        <v>31</v>
      </c>
      <c r="B10" s="24">
        <f>Three_Statement_Model!F10</f>
        <v>26750</v>
      </c>
      <c r="C10" s="24">
        <f>Three_Statement_Model!I10</f>
        <v>32851.273420800011</v>
      </c>
      <c r="D10" s="13">
        <f t="shared" si="0"/>
        <v>0.22808498769345831</v>
      </c>
    </row>
    <row r="11" spans="1:7" x14ac:dyDescent="0.35">
      <c r="A11" s="7" t="s">
        <v>328</v>
      </c>
      <c r="B11" s="52">
        <f>Workforce_Historical_Data!B7</f>
        <v>323578</v>
      </c>
      <c r="C11" s="52">
        <f>Workforce_Model!E5</f>
        <v>343361.91449066176</v>
      </c>
      <c r="D11" s="13">
        <f t="shared" si="0"/>
        <v>6.1141098871560384E-2</v>
      </c>
    </row>
    <row r="12" spans="1:7" x14ac:dyDescent="0.35">
      <c r="A12" s="7" t="s">
        <v>313</v>
      </c>
      <c r="B12" s="24">
        <f>Three_Statement_Model!B16</f>
        <v>14265</v>
      </c>
      <c r="C12" s="24">
        <f>Three_Statement_Model!D30</f>
        <v>84930.772211112344</v>
      </c>
      <c r="D12" s="13">
        <f t="shared" si="0"/>
        <v>4.9537870459945559</v>
      </c>
    </row>
    <row r="15" spans="1:7" ht="15.5" x14ac:dyDescent="0.35">
      <c r="A15" s="79" t="s">
        <v>330</v>
      </c>
      <c r="B15" s="79"/>
      <c r="C15" s="79"/>
      <c r="D15" s="79"/>
      <c r="E15" s="79"/>
      <c r="F15" s="79"/>
      <c r="G15" s="79"/>
    </row>
    <row r="16" spans="1:7" ht="66.5" customHeight="1" x14ac:dyDescent="0.35">
      <c r="A16" s="49" t="s">
        <v>329</v>
      </c>
      <c r="B16" s="49"/>
      <c r="C16" s="49"/>
      <c r="D16" s="49"/>
      <c r="E16" s="49"/>
      <c r="F16" s="49"/>
      <c r="G16" s="49"/>
    </row>
  </sheetData>
  <mergeCells count="7">
    <mergeCell ref="A16:G16"/>
    <mergeCell ref="A15:G15"/>
    <mergeCell ref="A6:D6"/>
    <mergeCell ref="A1:G1"/>
    <mergeCell ref="A2:G2"/>
    <mergeCell ref="A3:G3"/>
    <mergeCell ref="A4:G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E6EA2-3BC9-41B9-9E72-89694F2AF584}">
  <dimension ref="A1:C30"/>
  <sheetViews>
    <sheetView tabSelected="1" workbookViewId="0">
      <selection sqref="A1:C1"/>
    </sheetView>
  </sheetViews>
  <sheetFormatPr defaultRowHeight="14.5" x14ac:dyDescent="0.35"/>
  <cols>
    <col min="1" max="1" width="20.1796875" customWidth="1"/>
    <col min="2" max="2" width="25.90625" customWidth="1"/>
    <col min="3" max="3" width="45.7265625" customWidth="1"/>
  </cols>
  <sheetData>
    <row r="1" spans="1:3" ht="15.5" x14ac:dyDescent="0.35">
      <c r="A1" s="33" t="s">
        <v>331</v>
      </c>
      <c r="B1" s="33"/>
      <c r="C1" s="33"/>
    </row>
    <row r="2" spans="1:3" ht="44.5" customHeight="1" x14ac:dyDescent="0.35">
      <c r="A2" s="48" t="s">
        <v>332</v>
      </c>
      <c r="B2" s="48"/>
      <c r="C2" s="48"/>
    </row>
    <row r="4" spans="1:3" ht="15.5" x14ac:dyDescent="0.35">
      <c r="A4" s="33" t="s">
        <v>333</v>
      </c>
      <c r="B4" s="33"/>
      <c r="C4" s="33"/>
    </row>
    <row r="5" spans="1:3" ht="45" customHeight="1" x14ac:dyDescent="0.35">
      <c r="A5" s="48" t="s">
        <v>334</v>
      </c>
      <c r="B5" s="48"/>
      <c r="C5" s="48"/>
    </row>
    <row r="7" spans="1:3" ht="15.5" x14ac:dyDescent="0.35">
      <c r="A7" s="33" t="s">
        <v>335</v>
      </c>
      <c r="B7" s="33"/>
      <c r="C7" s="33"/>
    </row>
    <row r="8" spans="1:3" ht="47" customHeight="1" x14ac:dyDescent="0.35">
      <c r="A8" s="48" t="s">
        <v>336</v>
      </c>
      <c r="B8" s="48"/>
      <c r="C8" s="48"/>
    </row>
    <row r="10" spans="1:3" ht="15.5" x14ac:dyDescent="0.35">
      <c r="A10" s="33" t="s">
        <v>337</v>
      </c>
      <c r="B10" s="33"/>
      <c r="C10" s="33"/>
    </row>
    <row r="11" spans="1:3" ht="27.5" customHeight="1" x14ac:dyDescent="0.35">
      <c r="A11" s="48" t="s">
        <v>338</v>
      </c>
      <c r="B11" s="48"/>
      <c r="C11" s="48"/>
    </row>
    <row r="13" spans="1:3" ht="15.5" x14ac:dyDescent="0.35">
      <c r="A13" s="33" t="s">
        <v>13</v>
      </c>
      <c r="B13" s="33"/>
      <c r="C13" s="33"/>
    </row>
    <row r="14" spans="1:3" x14ac:dyDescent="0.35">
      <c r="A14" s="6" t="s">
        <v>101</v>
      </c>
      <c r="B14" s="6" t="s">
        <v>339</v>
      </c>
      <c r="C14" s="6" t="s">
        <v>340</v>
      </c>
    </row>
    <row r="15" spans="1:3" ht="29" x14ac:dyDescent="0.35">
      <c r="A15" s="7" t="s">
        <v>341</v>
      </c>
      <c r="B15" s="7" t="s">
        <v>342</v>
      </c>
      <c r="C15" s="7" t="s">
        <v>343</v>
      </c>
    </row>
    <row r="16" spans="1:3" x14ac:dyDescent="0.35">
      <c r="A16" s="7" t="s">
        <v>231</v>
      </c>
      <c r="B16" s="7" t="s">
        <v>344</v>
      </c>
      <c r="C16" s="7" t="s">
        <v>345</v>
      </c>
    </row>
    <row r="17" spans="1:3" x14ac:dyDescent="0.35">
      <c r="A17" s="7" t="s">
        <v>346</v>
      </c>
      <c r="B17" s="7" t="s">
        <v>347</v>
      </c>
      <c r="C17" s="7" t="s">
        <v>348</v>
      </c>
    </row>
    <row r="18" spans="1:3" x14ac:dyDescent="0.35">
      <c r="A18" s="7" t="s">
        <v>349</v>
      </c>
      <c r="B18" s="7" t="s">
        <v>350</v>
      </c>
      <c r="C18" s="7" t="s">
        <v>351</v>
      </c>
    </row>
    <row r="19" spans="1:3" x14ac:dyDescent="0.35">
      <c r="A19" s="7" t="s">
        <v>352</v>
      </c>
      <c r="B19" s="7" t="s">
        <v>353</v>
      </c>
      <c r="C19" s="7" t="s">
        <v>354</v>
      </c>
    </row>
    <row r="21" spans="1:3" ht="15.5" x14ac:dyDescent="0.35">
      <c r="A21" s="33" t="s">
        <v>355</v>
      </c>
      <c r="B21" s="33"/>
      <c r="C21" s="33"/>
    </row>
    <row r="22" spans="1:3" x14ac:dyDescent="0.35">
      <c r="A22" s="47" t="s">
        <v>356</v>
      </c>
      <c r="B22" s="47"/>
      <c r="C22" s="47"/>
    </row>
    <row r="24" spans="1:3" x14ac:dyDescent="0.35">
      <c r="A24" s="47" t="s">
        <v>357</v>
      </c>
      <c r="B24" s="47"/>
      <c r="C24" s="47"/>
    </row>
    <row r="26" spans="1:3" x14ac:dyDescent="0.35">
      <c r="A26" s="47" t="s">
        <v>358</v>
      </c>
      <c r="B26" s="47"/>
      <c r="C26" s="47"/>
    </row>
    <row r="28" spans="1:3" x14ac:dyDescent="0.35">
      <c r="A28" s="47" t="s">
        <v>359</v>
      </c>
      <c r="B28" s="47"/>
      <c r="C28" s="47"/>
    </row>
    <row r="30" spans="1:3" x14ac:dyDescent="0.35">
      <c r="A30" s="47" t="s">
        <v>360</v>
      </c>
      <c r="B30" s="47"/>
      <c r="C30" s="47"/>
    </row>
  </sheetData>
  <mergeCells count="15">
    <mergeCell ref="A26:C26"/>
    <mergeCell ref="A28:C28"/>
    <mergeCell ref="A30:C30"/>
    <mergeCell ref="A10:C10"/>
    <mergeCell ref="A11:C11"/>
    <mergeCell ref="A13:C13"/>
    <mergeCell ref="A21:C21"/>
    <mergeCell ref="A22:C22"/>
    <mergeCell ref="A24:C24"/>
    <mergeCell ref="A1:C1"/>
    <mergeCell ref="A2:C2"/>
    <mergeCell ref="A4:C4"/>
    <mergeCell ref="A5:C5"/>
    <mergeCell ref="A7:C7"/>
    <mergeCell ref="A8: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vt:lpstr>
      <vt:lpstr>Historical_Data</vt:lpstr>
      <vt:lpstr>Business_Notes</vt:lpstr>
      <vt:lpstr>Assumptions</vt:lpstr>
      <vt:lpstr>Revenue_Drivers</vt:lpstr>
      <vt:lpstr>Workforce_Historical_Data</vt:lpstr>
      <vt:lpstr>Workforce_Model</vt:lpstr>
      <vt:lpstr>Historical_Cost_Analysis</vt:lpstr>
      <vt:lpstr>Cost_Model</vt:lpstr>
      <vt:lpstr>Three_Statement_Model</vt:lpstr>
      <vt:lpstr>Scenario_Engine</vt:lpstr>
      <vt:lpstr>Dashboard</vt:lpstr>
      <vt:lpstr>Executive_Summary</vt:lpstr>
      <vt:lpstr>Management_Insights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Shourya Nautiyal</dc:creator>
  <cp:lastModifiedBy>Shourya Nautiyal</cp:lastModifiedBy>
  <dcterms:created xsi:type="dcterms:W3CDTF">2015-06-05T18:17:20Z</dcterms:created>
  <dcterms:modified xsi:type="dcterms:W3CDTF">2026-06-23T11:07:53Z</dcterms:modified>
</cp:coreProperties>
</file>